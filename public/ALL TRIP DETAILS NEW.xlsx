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39F566D0-3513-498B-A334-D1CAD174C0CC}" xr6:coauthVersionLast="47" xr6:coauthVersionMax="47" xr10:uidLastSave="{00000000-0000-0000-0000-000000000000}"/>
  <bookViews>
    <workbookView xWindow="-108" yWindow="-108" windowWidth="23256" windowHeight="12456" activeTab="2" xr2:uid="{F047AE53-481A-4B9B-9B12-745CE23348AB}"/>
  </bookViews>
  <sheets>
    <sheet name="PB" sheetId="1" r:id="rId1"/>
    <sheet name="VENDER" sheetId="2" r:id="rId2"/>
    <sheet name="Sheet1" sheetId="11" r:id="rId3"/>
  </sheets>
  <definedNames>
    <definedName name="_xlnm._FilterDatabase" localSheetId="1" hidden="1">VENDER!$B$4:$O$69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1" l="1"/>
  <c r="N8" i="11"/>
  <c r="N9" i="11"/>
  <c r="N10" i="11"/>
  <c r="N6" i="11"/>
  <c r="L10" i="11"/>
  <c r="L9" i="11"/>
  <c r="L8" i="11"/>
  <c r="L7" i="11"/>
  <c r="L6" i="11"/>
  <c r="L69" i="2"/>
  <c r="O69" i="2" s="1"/>
  <c r="L68" i="2"/>
  <c r="O68" i="2" s="1"/>
  <c r="L67" i="2"/>
  <c r="O67" i="2" s="1"/>
  <c r="L66" i="2"/>
  <c r="O66" i="2" s="1"/>
  <c r="L65" i="2"/>
  <c r="L64" i="2"/>
  <c r="L63" i="2"/>
  <c r="O63" i="2" s="1"/>
  <c r="V378" i="1"/>
  <c r="V379" i="1"/>
  <c r="V380" i="1"/>
  <c r="V381" i="1"/>
  <c r="V382" i="1"/>
  <c r="Z382" i="1" s="1"/>
  <c r="AB382" i="1" s="1"/>
  <c r="V383" i="1"/>
  <c r="Z383" i="1" s="1"/>
  <c r="AB383" i="1" s="1"/>
  <c r="V384" i="1"/>
  <c r="AA384" i="1" s="1"/>
  <c r="V385" i="1"/>
  <c r="AA385" i="1" s="1"/>
  <c r="V386" i="1"/>
  <c r="AA386" i="1" s="1"/>
  <c r="V387" i="1"/>
  <c r="Z387" i="1" s="1"/>
  <c r="AB387" i="1" s="1"/>
  <c r="V388" i="1"/>
  <c r="AA388" i="1" s="1"/>
  <c r="V389" i="1"/>
  <c r="AA389" i="1" s="1"/>
  <c r="V390" i="1"/>
  <c r="V391" i="1"/>
  <c r="V392" i="1"/>
  <c r="V393" i="1"/>
  <c r="V394" i="1"/>
  <c r="Z394" i="1" s="1"/>
  <c r="AB394" i="1" s="1"/>
  <c r="V395" i="1"/>
  <c r="Z395" i="1" s="1"/>
  <c r="AB395" i="1" s="1"/>
  <c r="V396" i="1"/>
  <c r="AA396" i="1" s="1"/>
  <c r="V397" i="1"/>
  <c r="Z397" i="1" s="1"/>
  <c r="AB397" i="1" s="1"/>
  <c r="V398" i="1"/>
  <c r="Z398" i="1" s="1"/>
  <c r="AB398" i="1" s="1"/>
  <c r="V399" i="1"/>
  <c r="AA399" i="1" s="1"/>
  <c r="Y378" i="1"/>
  <c r="AA378" i="1" s="1"/>
  <c r="Y379" i="1"/>
  <c r="AC379" i="1" s="1"/>
  <c r="Y380" i="1"/>
  <c r="Y381" i="1"/>
  <c r="Y382" i="1"/>
  <c r="Y383" i="1"/>
  <c r="Y384" i="1"/>
  <c r="Y385" i="1"/>
  <c r="Y386" i="1"/>
  <c r="Y387" i="1"/>
  <c r="Y388" i="1"/>
  <c r="AC388" i="1" s="1"/>
  <c r="Y389" i="1"/>
  <c r="AC389" i="1" s="1"/>
  <c r="Y390" i="1"/>
  <c r="AC390" i="1" s="1"/>
  <c r="Y391" i="1"/>
  <c r="AC391" i="1" s="1"/>
  <c r="Y392" i="1"/>
  <c r="Y393" i="1"/>
  <c r="Y394" i="1"/>
  <c r="Y395" i="1"/>
  <c r="Y396" i="1"/>
  <c r="Y397" i="1"/>
  <c r="Y398" i="1"/>
  <c r="Y399" i="1"/>
  <c r="Z378" i="1"/>
  <c r="AB378" i="1" s="1"/>
  <c r="Z379" i="1"/>
  <c r="AB379" i="1" s="1"/>
  <c r="Z380" i="1"/>
  <c r="AB380" i="1" s="1"/>
  <c r="Z381" i="1"/>
  <c r="AB381" i="1" s="1"/>
  <c r="Z390" i="1"/>
  <c r="AB390" i="1" s="1"/>
  <c r="Z391" i="1"/>
  <c r="AB391" i="1" s="1"/>
  <c r="Z392" i="1"/>
  <c r="AB392" i="1" s="1"/>
  <c r="Z393" i="1"/>
  <c r="AB393" i="1" s="1"/>
  <c r="AA380" i="1"/>
  <c r="AA381" i="1"/>
  <c r="AA382" i="1"/>
  <c r="AA383" i="1"/>
  <c r="AA392" i="1"/>
  <c r="AA393" i="1"/>
  <c r="AA394" i="1"/>
  <c r="AA395" i="1"/>
  <c r="AC380" i="1"/>
  <c r="AC381" i="1"/>
  <c r="AC382" i="1"/>
  <c r="AC383" i="1"/>
  <c r="AC384" i="1"/>
  <c r="AC385" i="1"/>
  <c r="AC386" i="1"/>
  <c r="AC387" i="1"/>
  <c r="AC392" i="1"/>
  <c r="AC393" i="1"/>
  <c r="AC394" i="1"/>
  <c r="AC395" i="1"/>
  <c r="AC396" i="1"/>
  <c r="AC397" i="1"/>
  <c r="AC398" i="1"/>
  <c r="AC399" i="1"/>
  <c r="V317" i="1"/>
  <c r="Z317" i="1" s="1"/>
  <c r="V318" i="1"/>
  <c r="V319" i="1"/>
  <c r="Z319" i="1" s="1"/>
  <c r="V320" i="1"/>
  <c r="V321" i="1"/>
  <c r="Z321" i="1" s="1"/>
  <c r="V322" i="1"/>
  <c r="Z322" i="1" s="1"/>
  <c r="V323" i="1"/>
  <c r="Z323" i="1" s="1"/>
  <c r="V324" i="1"/>
  <c r="V325" i="1"/>
  <c r="Z325" i="1" s="1"/>
  <c r="V326" i="1"/>
  <c r="V327" i="1"/>
  <c r="Z327" i="1" s="1"/>
  <c r="V328" i="1"/>
  <c r="V329" i="1"/>
  <c r="Z329" i="1" s="1"/>
  <c r="V330" i="1"/>
  <c r="V331" i="1"/>
  <c r="Z331" i="1" s="1"/>
  <c r="V332" i="1"/>
  <c r="V333" i="1"/>
  <c r="V334" i="1"/>
  <c r="V335" i="1"/>
  <c r="Z335" i="1" s="1"/>
  <c r="V336" i="1"/>
  <c r="V337" i="1"/>
  <c r="Z337" i="1" s="1"/>
  <c r="V338" i="1"/>
  <c r="Z338" i="1" s="1"/>
  <c r="V339" i="1"/>
  <c r="Z339" i="1" s="1"/>
  <c r="V340" i="1"/>
  <c r="V341" i="1"/>
  <c r="Z341" i="1" s="1"/>
  <c r="V342" i="1"/>
  <c r="V343" i="1"/>
  <c r="Z343" i="1" s="1"/>
  <c r="V344" i="1"/>
  <c r="V345" i="1"/>
  <c r="Z345" i="1" s="1"/>
  <c r="V346" i="1"/>
  <c r="V347" i="1"/>
  <c r="Z347" i="1" s="1"/>
  <c r="V348" i="1"/>
  <c r="V349" i="1"/>
  <c r="Z349" i="1" s="1"/>
  <c r="V350" i="1"/>
  <c r="V351" i="1"/>
  <c r="Z351" i="1" s="1"/>
  <c r="V352" i="1"/>
  <c r="V353" i="1"/>
  <c r="Z353" i="1" s="1"/>
  <c r="V354" i="1"/>
  <c r="Z354" i="1" s="1"/>
  <c r="V355" i="1"/>
  <c r="Z355" i="1" s="1"/>
  <c r="V356" i="1"/>
  <c r="Z356" i="1" s="1"/>
  <c r="V357" i="1"/>
  <c r="Z357" i="1" s="1"/>
  <c r="V358" i="1"/>
  <c r="V359" i="1"/>
  <c r="Z359" i="1" s="1"/>
  <c r="V360" i="1"/>
  <c r="V361" i="1"/>
  <c r="Z361" i="1" s="1"/>
  <c r="V362" i="1"/>
  <c r="V363" i="1"/>
  <c r="Z363" i="1" s="1"/>
  <c r="V364" i="1"/>
  <c r="Z364" i="1" s="1"/>
  <c r="V365" i="1"/>
  <c r="Z365" i="1" s="1"/>
  <c r="V366" i="1"/>
  <c r="V367" i="1"/>
  <c r="Z367" i="1" s="1"/>
  <c r="V368" i="1"/>
  <c r="V369" i="1"/>
  <c r="Z369" i="1" s="1"/>
  <c r="V370" i="1"/>
  <c r="Z370" i="1" s="1"/>
  <c r="V371" i="1"/>
  <c r="Z371" i="1" s="1"/>
  <c r="V372" i="1"/>
  <c r="Z372" i="1" s="1"/>
  <c r="V373" i="1"/>
  <c r="V374" i="1"/>
  <c r="V375" i="1"/>
  <c r="Z375" i="1" s="1"/>
  <c r="V376" i="1"/>
  <c r="V377" i="1"/>
  <c r="Z377" i="1" s="1"/>
  <c r="Y317" i="1"/>
  <c r="AC317" i="1" s="1"/>
  <c r="Y318" i="1"/>
  <c r="AC318" i="1" s="1"/>
  <c r="Y319" i="1"/>
  <c r="Y320" i="1"/>
  <c r="AC320" i="1" s="1"/>
  <c r="Y321" i="1"/>
  <c r="AC321" i="1" s="1"/>
  <c r="Y322" i="1"/>
  <c r="AC322" i="1" s="1"/>
  <c r="Y323" i="1"/>
  <c r="AC323" i="1" s="1"/>
  <c r="Y324" i="1"/>
  <c r="AC324" i="1" s="1"/>
  <c r="Y325" i="1"/>
  <c r="AC325" i="1" s="1"/>
  <c r="Y326" i="1"/>
  <c r="AC326" i="1" s="1"/>
  <c r="Y327" i="1"/>
  <c r="AC327" i="1" s="1"/>
  <c r="Y328" i="1"/>
  <c r="AC328" i="1" s="1"/>
  <c r="Y329" i="1"/>
  <c r="Y330" i="1"/>
  <c r="AC330" i="1" s="1"/>
  <c r="Y331" i="1"/>
  <c r="AC331" i="1" s="1"/>
  <c r="Y332" i="1"/>
  <c r="AC332" i="1" s="1"/>
  <c r="Y333" i="1"/>
  <c r="AC333" i="1" s="1"/>
  <c r="Y334" i="1"/>
  <c r="AC334" i="1" s="1"/>
  <c r="Y335" i="1"/>
  <c r="AC335" i="1" s="1"/>
  <c r="Y336" i="1"/>
  <c r="AC336" i="1" s="1"/>
  <c r="Y337" i="1"/>
  <c r="Y338" i="1"/>
  <c r="AC338" i="1" s="1"/>
  <c r="Y339" i="1"/>
  <c r="AC339" i="1" s="1"/>
  <c r="Y340" i="1"/>
  <c r="AC340" i="1" s="1"/>
  <c r="Y341" i="1"/>
  <c r="AC341" i="1" s="1"/>
  <c r="Y342" i="1"/>
  <c r="AC342" i="1" s="1"/>
  <c r="Y343" i="1"/>
  <c r="AC343" i="1" s="1"/>
  <c r="Y344" i="1"/>
  <c r="AC344" i="1" s="1"/>
  <c r="Y345" i="1"/>
  <c r="Y346" i="1"/>
  <c r="AC346" i="1" s="1"/>
  <c r="Y347" i="1"/>
  <c r="AC347" i="1" s="1"/>
  <c r="Y348" i="1"/>
  <c r="AC348" i="1" s="1"/>
  <c r="Y349" i="1"/>
  <c r="AC349" i="1" s="1"/>
  <c r="Y350" i="1"/>
  <c r="AC350" i="1" s="1"/>
  <c r="Y351" i="1"/>
  <c r="AC351" i="1" s="1"/>
  <c r="Y352" i="1"/>
  <c r="AC352" i="1" s="1"/>
  <c r="Y353" i="1"/>
  <c r="Y354" i="1"/>
  <c r="AC354" i="1" s="1"/>
  <c r="Y355" i="1"/>
  <c r="AC355" i="1" s="1"/>
  <c r="Y356" i="1"/>
  <c r="AC356" i="1" s="1"/>
  <c r="Y357" i="1"/>
  <c r="AC357" i="1" s="1"/>
  <c r="Y358" i="1"/>
  <c r="AC358" i="1" s="1"/>
  <c r="Y359" i="1"/>
  <c r="AC359" i="1" s="1"/>
  <c r="Y360" i="1"/>
  <c r="AC360" i="1" s="1"/>
  <c r="Y361" i="1"/>
  <c r="Y362" i="1"/>
  <c r="AC362" i="1" s="1"/>
  <c r="Y363" i="1"/>
  <c r="AC363" i="1" s="1"/>
  <c r="Y364" i="1"/>
  <c r="AC364" i="1" s="1"/>
  <c r="Y365" i="1"/>
  <c r="AC365" i="1" s="1"/>
  <c r="Y366" i="1"/>
  <c r="AC366" i="1" s="1"/>
  <c r="Y367" i="1"/>
  <c r="Y368" i="1"/>
  <c r="AC368" i="1" s="1"/>
  <c r="Y369" i="1"/>
  <c r="Y370" i="1"/>
  <c r="AC370" i="1" s="1"/>
  <c r="Y371" i="1"/>
  <c r="AC371" i="1" s="1"/>
  <c r="Y372" i="1"/>
  <c r="AC372" i="1" s="1"/>
  <c r="Y373" i="1"/>
  <c r="AC373" i="1" s="1"/>
  <c r="Y374" i="1"/>
  <c r="AC374" i="1" s="1"/>
  <c r="Y375" i="1"/>
  <c r="Y376" i="1"/>
  <c r="AC376" i="1" s="1"/>
  <c r="Y377" i="1"/>
  <c r="L53" i="2"/>
  <c r="O53" i="2" s="1"/>
  <c r="L54" i="2"/>
  <c r="O54" i="2" s="1"/>
  <c r="L55" i="2"/>
  <c r="O55" i="2" s="1"/>
  <c r="L57" i="2"/>
  <c r="O57" i="2" s="1"/>
  <c r="L56" i="2"/>
  <c r="O56" i="2" s="1"/>
  <c r="O51" i="2"/>
  <c r="O52" i="2"/>
  <c r="O58" i="2"/>
  <c r="O59" i="2"/>
  <c r="O61" i="2"/>
  <c r="O62" i="2"/>
  <c r="O64" i="2"/>
  <c r="O65" i="2"/>
  <c r="O50" i="2"/>
  <c r="I45" i="2"/>
  <c r="L49" i="2"/>
  <c r="O49" i="2" s="1"/>
  <c r="L48" i="2"/>
  <c r="O48" i="2" s="1"/>
  <c r="L47" i="2"/>
  <c r="O47" i="2" s="1"/>
  <c r="AA391" i="1" l="1"/>
  <c r="Z389" i="1"/>
  <c r="AB389" i="1" s="1"/>
  <c r="AA390" i="1"/>
  <c r="Z388" i="1"/>
  <c r="AB388" i="1" s="1"/>
  <c r="Z399" i="1"/>
  <c r="AB399" i="1" s="1"/>
  <c r="Z386" i="1"/>
  <c r="AB386" i="1" s="1"/>
  <c r="AA387" i="1"/>
  <c r="Z385" i="1"/>
  <c r="AB385" i="1" s="1"/>
  <c r="AC378" i="1"/>
  <c r="AA398" i="1"/>
  <c r="Z396" i="1"/>
  <c r="AB396" i="1" s="1"/>
  <c r="Z384" i="1"/>
  <c r="AB384" i="1" s="1"/>
  <c r="AA397" i="1"/>
  <c r="AA379" i="1"/>
  <c r="AB372" i="1"/>
  <c r="AB364" i="1"/>
  <c r="AA327" i="1"/>
  <c r="AA375" i="1"/>
  <c r="AA354" i="1"/>
  <c r="AB354" i="1"/>
  <c r="AA343" i="1"/>
  <c r="AA373" i="1"/>
  <c r="AB365" i="1"/>
  <c r="AB357" i="1"/>
  <c r="AB349" i="1"/>
  <c r="AB341" i="1"/>
  <c r="AA333" i="1"/>
  <c r="AA359" i="1"/>
  <c r="AA372" i="1"/>
  <c r="AA364" i="1"/>
  <c r="AA370" i="1"/>
  <c r="AA362" i="1"/>
  <c r="AA346" i="1"/>
  <c r="AB338" i="1"/>
  <c r="AA330" i="1"/>
  <c r="AB322" i="1"/>
  <c r="AA338" i="1"/>
  <c r="AB356" i="1"/>
  <c r="Z373" i="1"/>
  <c r="AB373" i="1" s="1"/>
  <c r="AB377" i="1"/>
  <c r="AB369" i="1"/>
  <c r="AB353" i="1"/>
  <c r="AB345" i="1"/>
  <c r="AA337" i="1"/>
  <c r="AB329" i="1"/>
  <c r="AA374" i="1"/>
  <c r="AA366" i="1"/>
  <c r="AA358" i="1"/>
  <c r="AA350" i="1"/>
  <c r="AA342" i="1"/>
  <c r="AA334" i="1"/>
  <c r="AA326" i="1"/>
  <c r="AA318" i="1"/>
  <c r="AB325" i="1"/>
  <c r="AB317" i="1"/>
  <c r="AA341" i="1"/>
  <c r="AA356" i="1"/>
  <c r="AA348" i="1"/>
  <c r="AA340" i="1"/>
  <c r="AA332" i="1"/>
  <c r="AA324" i="1"/>
  <c r="AA325" i="1"/>
  <c r="Z330" i="1"/>
  <c r="AB330" i="1" s="1"/>
  <c r="AA322" i="1"/>
  <c r="Z346" i="1"/>
  <c r="AB346" i="1" s="1"/>
  <c r="AB361" i="1"/>
  <c r="AA357" i="1"/>
  <c r="Z362" i="1"/>
  <c r="AB362" i="1" s="1"/>
  <c r="AB370" i="1"/>
  <c r="AA335" i="1"/>
  <c r="Z326" i="1"/>
  <c r="AB326" i="1" s="1"/>
  <c r="AA353" i="1"/>
  <c r="Z334" i="1"/>
  <c r="AB334" i="1" s="1"/>
  <c r="AB375" i="1"/>
  <c r="AB367" i="1"/>
  <c r="AB351" i="1"/>
  <c r="AB327" i="1"/>
  <c r="AB319" i="1"/>
  <c r="AA367" i="1"/>
  <c r="AA351" i="1"/>
  <c r="AA319" i="1"/>
  <c r="Z342" i="1"/>
  <c r="AB342" i="1" s="1"/>
  <c r="Z333" i="1"/>
  <c r="AB333" i="1" s="1"/>
  <c r="Z324" i="1"/>
  <c r="AB324" i="1" s="1"/>
  <c r="AC367" i="1"/>
  <c r="AA365" i="1"/>
  <c r="AA349" i="1"/>
  <c r="AA317" i="1"/>
  <c r="Z350" i="1"/>
  <c r="AB350" i="1" s="1"/>
  <c r="Z332" i="1"/>
  <c r="AB332" i="1" s="1"/>
  <c r="AC375" i="1"/>
  <c r="Z358" i="1"/>
  <c r="AB358" i="1" s="1"/>
  <c r="Z340" i="1"/>
  <c r="AB340" i="1" s="1"/>
  <c r="AB321" i="1"/>
  <c r="AA369" i="1"/>
  <c r="AA321" i="1"/>
  <c r="AB359" i="1"/>
  <c r="AB343" i="1"/>
  <c r="AB335" i="1"/>
  <c r="AC319" i="1"/>
  <c r="AA377" i="1"/>
  <c r="AA361" i="1"/>
  <c r="AA345" i="1"/>
  <c r="AA329" i="1"/>
  <c r="Z366" i="1"/>
  <c r="AB366" i="1" s="1"/>
  <c r="Z348" i="1"/>
  <c r="AB348" i="1" s="1"/>
  <c r="AB371" i="1"/>
  <c r="AB363" i="1"/>
  <c r="AB355" i="1"/>
  <c r="AB347" i="1"/>
  <c r="AB339" i="1"/>
  <c r="AB331" i="1"/>
  <c r="AB323" i="1"/>
  <c r="AA376" i="1"/>
  <c r="AA368" i="1"/>
  <c r="AA360" i="1"/>
  <c r="AA352" i="1"/>
  <c r="AA344" i="1"/>
  <c r="AA336" i="1"/>
  <c r="AA328" i="1"/>
  <c r="AA320" i="1"/>
  <c r="AB337" i="1"/>
  <c r="Z374" i="1"/>
  <c r="AB374" i="1" s="1"/>
  <c r="Z318" i="1"/>
  <c r="AB318" i="1" s="1"/>
  <c r="AC377" i="1"/>
  <c r="AC369" i="1"/>
  <c r="AC361" i="1"/>
  <c r="AC353" i="1"/>
  <c r="AC345" i="1"/>
  <c r="AC337" i="1"/>
  <c r="AC329" i="1"/>
  <c r="AA371" i="1"/>
  <c r="AA363" i="1"/>
  <c r="AA355" i="1"/>
  <c r="AA347" i="1"/>
  <c r="AA339" i="1"/>
  <c r="AA331" i="1"/>
  <c r="AA323" i="1"/>
  <c r="Z376" i="1"/>
  <c r="AB376" i="1" s="1"/>
  <c r="Z368" i="1"/>
  <c r="AB368" i="1" s="1"/>
  <c r="Z360" i="1"/>
  <c r="AB360" i="1" s="1"/>
  <c r="Z352" i="1"/>
  <c r="AB352" i="1" s="1"/>
  <c r="Z344" i="1"/>
  <c r="AB344" i="1" s="1"/>
  <c r="Z336" i="1"/>
  <c r="AB336" i="1" s="1"/>
  <c r="Z328" i="1"/>
  <c r="AB328" i="1" s="1"/>
  <c r="Z320" i="1"/>
  <c r="AB320" i="1" s="1"/>
  <c r="O37" i="2"/>
  <c r="O36" i="2"/>
  <c r="L35" i="2"/>
  <c r="O35" i="2" s="1"/>
  <c r="O34" i="2"/>
  <c r="O33" i="2"/>
  <c r="L32" i="2"/>
  <c r="O32" i="2" s="1"/>
  <c r="L31" i="2"/>
  <c r="O31" i="2" s="1"/>
  <c r="L30" i="2"/>
  <c r="O30" i="2" s="1"/>
  <c r="L29" i="2"/>
  <c r="O29" i="2" s="1"/>
  <c r="L28" i="2"/>
  <c r="O28" i="2" s="1"/>
  <c r="L27" i="2"/>
  <c r="O27" i="2" s="1"/>
  <c r="L26" i="2"/>
  <c r="O26" i="2" s="1"/>
  <c r="L25" i="2"/>
  <c r="O25" i="2" s="1"/>
  <c r="O24" i="2"/>
  <c r="L21" i="2"/>
  <c r="O21" i="2" s="1"/>
  <c r="L20" i="2"/>
  <c r="O20" i="2" s="1"/>
  <c r="L19" i="2"/>
  <c r="O19" i="2" s="1"/>
  <c r="O18" i="2"/>
  <c r="O17" i="2"/>
  <c r="O16" i="2"/>
  <c r="O15" i="2"/>
  <c r="L14" i="2"/>
  <c r="O14" i="2" s="1"/>
  <c r="O13" i="2"/>
  <c r="L12" i="2"/>
  <c r="O12" i="2" s="1"/>
  <c r="L11" i="2"/>
  <c r="O11" i="2" s="1"/>
  <c r="L10" i="2"/>
  <c r="O10" i="2" s="1"/>
  <c r="L9" i="2"/>
  <c r="O9" i="2" s="1"/>
  <c r="L8" i="2"/>
  <c r="O8" i="2" s="1"/>
  <c r="O7" i="2"/>
  <c r="L6" i="2"/>
  <c r="O6" i="2" s="1"/>
  <c r="L5" i="2"/>
  <c r="O5" i="2" s="1"/>
  <c r="Y316" i="1"/>
  <c r="AC316" i="1" s="1"/>
  <c r="V316" i="1"/>
  <c r="Y315" i="1"/>
  <c r="AC315" i="1" s="1"/>
  <c r="V315" i="1"/>
  <c r="Y314" i="1"/>
  <c r="AC314" i="1" s="1"/>
  <c r="V314" i="1"/>
  <c r="Y313" i="1"/>
  <c r="AC313" i="1" s="1"/>
  <c r="V313" i="1"/>
  <c r="Y312" i="1"/>
  <c r="AC312" i="1" s="1"/>
  <c r="V312" i="1"/>
  <c r="Y311" i="1"/>
  <c r="AC311" i="1" s="1"/>
  <c r="V311" i="1"/>
  <c r="Z311" i="1" s="1"/>
  <c r="Y310" i="1"/>
  <c r="AC310" i="1" s="1"/>
  <c r="V310" i="1"/>
  <c r="Z310" i="1" s="1"/>
  <c r="Y309" i="1"/>
  <c r="AC309" i="1" s="1"/>
  <c r="V309" i="1"/>
  <c r="Y308" i="1"/>
  <c r="AC308" i="1" s="1"/>
  <c r="V308" i="1"/>
  <c r="Z308" i="1" s="1"/>
  <c r="Y307" i="1"/>
  <c r="AC307" i="1" s="1"/>
  <c r="V307" i="1"/>
  <c r="Y306" i="1"/>
  <c r="AC306" i="1" s="1"/>
  <c r="V306" i="1"/>
  <c r="Y305" i="1"/>
  <c r="AC305" i="1" s="1"/>
  <c r="V305" i="1"/>
  <c r="Y304" i="1"/>
  <c r="AC304" i="1" s="1"/>
  <c r="V304" i="1"/>
  <c r="Y303" i="1"/>
  <c r="AC303" i="1" s="1"/>
  <c r="V303" i="1"/>
  <c r="Y302" i="1"/>
  <c r="AC302" i="1" s="1"/>
  <c r="V302" i="1"/>
  <c r="Z302" i="1" s="1"/>
  <c r="Y301" i="1"/>
  <c r="AC301" i="1" s="1"/>
  <c r="V301" i="1"/>
  <c r="Y300" i="1"/>
  <c r="AC300" i="1" s="1"/>
  <c r="V300" i="1"/>
  <c r="Z300" i="1" s="1"/>
  <c r="Y299" i="1"/>
  <c r="AC299" i="1" s="1"/>
  <c r="V299" i="1"/>
  <c r="Y298" i="1"/>
  <c r="AC298" i="1" s="1"/>
  <c r="V298" i="1"/>
  <c r="Y297" i="1"/>
  <c r="AC297" i="1" s="1"/>
  <c r="V297" i="1"/>
  <c r="Y296" i="1"/>
  <c r="AC296" i="1" s="1"/>
  <c r="V296" i="1"/>
  <c r="Y295" i="1"/>
  <c r="AC295" i="1" s="1"/>
  <c r="V295" i="1"/>
  <c r="Z295" i="1" s="1"/>
  <c r="Y294" i="1"/>
  <c r="AC294" i="1" s="1"/>
  <c r="V294" i="1"/>
  <c r="Z294" i="1" s="1"/>
  <c r="Y293" i="1"/>
  <c r="AC293" i="1" s="1"/>
  <c r="V293" i="1"/>
  <c r="Y292" i="1"/>
  <c r="AC292" i="1" s="1"/>
  <c r="V292" i="1"/>
  <c r="Z292" i="1" s="1"/>
  <c r="Y291" i="1"/>
  <c r="AC291" i="1" s="1"/>
  <c r="V291" i="1"/>
  <c r="Y290" i="1"/>
  <c r="AC290" i="1" s="1"/>
  <c r="V290" i="1"/>
  <c r="Y289" i="1"/>
  <c r="AC289" i="1" s="1"/>
  <c r="V289" i="1"/>
  <c r="Z289" i="1" s="1"/>
  <c r="Y288" i="1"/>
  <c r="AC288" i="1" s="1"/>
  <c r="V288" i="1"/>
  <c r="Y287" i="1"/>
  <c r="AC287" i="1" s="1"/>
  <c r="V287" i="1"/>
  <c r="Z287" i="1" s="1"/>
  <c r="Y286" i="1"/>
  <c r="AC286" i="1" s="1"/>
  <c r="V286" i="1"/>
  <c r="Z286" i="1" s="1"/>
  <c r="Y285" i="1"/>
  <c r="AC285" i="1" s="1"/>
  <c r="V285" i="1"/>
  <c r="Y284" i="1"/>
  <c r="AC284" i="1" s="1"/>
  <c r="V284" i="1"/>
  <c r="Z284" i="1" s="1"/>
  <c r="Y283" i="1"/>
  <c r="AC283" i="1" s="1"/>
  <c r="V283" i="1"/>
  <c r="Y282" i="1"/>
  <c r="AC282" i="1" s="1"/>
  <c r="V282" i="1"/>
  <c r="Z282" i="1" s="1"/>
  <c r="Y281" i="1"/>
  <c r="AC281" i="1" s="1"/>
  <c r="V281" i="1"/>
  <c r="Y280" i="1"/>
  <c r="AC280" i="1" s="1"/>
  <c r="V280" i="1"/>
  <c r="Y279" i="1"/>
  <c r="AC279" i="1" s="1"/>
  <c r="V279" i="1"/>
  <c r="Z279" i="1" s="1"/>
  <c r="Y278" i="1"/>
  <c r="AC278" i="1" s="1"/>
  <c r="V278" i="1"/>
  <c r="Z278" i="1" s="1"/>
  <c r="Y277" i="1"/>
  <c r="AC277" i="1" s="1"/>
  <c r="V277" i="1"/>
  <c r="Y276" i="1"/>
  <c r="AC276" i="1" s="1"/>
  <c r="V276" i="1"/>
  <c r="Z276" i="1" s="1"/>
  <c r="Y275" i="1"/>
  <c r="AC275" i="1" s="1"/>
  <c r="V275" i="1"/>
  <c r="Y274" i="1"/>
  <c r="AC274" i="1" s="1"/>
  <c r="V274" i="1"/>
  <c r="Y273" i="1"/>
  <c r="AC273" i="1" s="1"/>
  <c r="V273" i="1"/>
  <c r="Y272" i="1"/>
  <c r="AC272" i="1" s="1"/>
  <c r="V272" i="1"/>
  <c r="Y271" i="1"/>
  <c r="AC271" i="1" s="1"/>
  <c r="V271" i="1"/>
  <c r="Y270" i="1"/>
  <c r="AC270" i="1" s="1"/>
  <c r="V270" i="1"/>
  <c r="Z270" i="1" s="1"/>
  <c r="Y269" i="1"/>
  <c r="AC269" i="1" s="1"/>
  <c r="V269" i="1"/>
  <c r="Y268" i="1"/>
  <c r="AC268" i="1" s="1"/>
  <c r="V268" i="1"/>
  <c r="Z268" i="1" s="1"/>
  <c r="Y267" i="1"/>
  <c r="AC267" i="1" s="1"/>
  <c r="V267" i="1"/>
  <c r="Y266" i="1"/>
  <c r="AC266" i="1" s="1"/>
  <c r="V266" i="1"/>
  <c r="Z266" i="1" s="1"/>
  <c r="Y265" i="1"/>
  <c r="AC265" i="1" s="1"/>
  <c r="V265" i="1"/>
  <c r="Y264" i="1"/>
  <c r="AC264" i="1" s="1"/>
  <c r="V264" i="1"/>
  <c r="Y263" i="1"/>
  <c r="AC263" i="1" s="1"/>
  <c r="V263" i="1"/>
  <c r="Y262" i="1"/>
  <c r="AC262" i="1" s="1"/>
  <c r="V262" i="1"/>
  <c r="Z262" i="1" s="1"/>
  <c r="Y261" i="1"/>
  <c r="AC261" i="1" s="1"/>
  <c r="V261" i="1"/>
  <c r="Y260" i="1"/>
  <c r="AC260" i="1" s="1"/>
  <c r="V260" i="1"/>
  <c r="Z260" i="1" s="1"/>
  <c r="Y259" i="1"/>
  <c r="AC259" i="1" s="1"/>
  <c r="V259" i="1"/>
  <c r="Y258" i="1"/>
  <c r="AC258" i="1" s="1"/>
  <c r="V258" i="1"/>
  <c r="Z258" i="1" s="1"/>
  <c r="Y257" i="1"/>
  <c r="AC257" i="1" s="1"/>
  <c r="V257" i="1"/>
  <c r="Y256" i="1"/>
  <c r="AC256" i="1" s="1"/>
  <c r="V256" i="1"/>
  <c r="Y255" i="1"/>
  <c r="AC255" i="1" s="1"/>
  <c r="V255" i="1"/>
  <c r="Z255" i="1" s="1"/>
  <c r="Y254" i="1"/>
  <c r="AC254" i="1" s="1"/>
  <c r="V254" i="1"/>
  <c r="Z254" i="1" s="1"/>
  <c r="Y253" i="1"/>
  <c r="AC253" i="1" s="1"/>
  <c r="V253" i="1"/>
  <c r="Y252" i="1"/>
  <c r="AC252" i="1" s="1"/>
  <c r="V252" i="1"/>
  <c r="Z252" i="1" s="1"/>
  <c r="Y251" i="1"/>
  <c r="AC251" i="1" s="1"/>
  <c r="V251" i="1"/>
  <c r="Y250" i="1"/>
  <c r="AC250" i="1" s="1"/>
  <c r="V250" i="1"/>
  <c r="Z250" i="1" s="1"/>
  <c r="Y249" i="1"/>
  <c r="AC249" i="1" s="1"/>
  <c r="V249" i="1"/>
  <c r="Y248" i="1"/>
  <c r="AC248" i="1" s="1"/>
  <c r="V248" i="1"/>
  <c r="Y247" i="1"/>
  <c r="AC247" i="1" s="1"/>
  <c r="V247" i="1"/>
  <c r="Y246" i="1"/>
  <c r="AC246" i="1" s="1"/>
  <c r="V246" i="1"/>
  <c r="Y245" i="1"/>
  <c r="AC245" i="1" s="1"/>
  <c r="V245" i="1"/>
  <c r="Y244" i="1"/>
  <c r="AC244" i="1" s="1"/>
  <c r="V244" i="1"/>
  <c r="Z244" i="1" s="1"/>
  <c r="Y243" i="1"/>
  <c r="AC243" i="1" s="1"/>
  <c r="V243" i="1"/>
  <c r="Y242" i="1"/>
  <c r="AC242" i="1" s="1"/>
  <c r="V242" i="1"/>
  <c r="Z242" i="1" s="1"/>
  <c r="Y241" i="1"/>
  <c r="AC241" i="1" s="1"/>
  <c r="V241" i="1"/>
  <c r="Y240" i="1"/>
  <c r="AC240" i="1" s="1"/>
  <c r="V240" i="1"/>
  <c r="Y239" i="1"/>
  <c r="AC239" i="1" s="1"/>
  <c r="V239" i="1"/>
  <c r="Z239" i="1" s="1"/>
  <c r="Y238" i="1"/>
  <c r="AC238" i="1" s="1"/>
  <c r="V238" i="1"/>
  <c r="Z238" i="1" s="1"/>
  <c r="Y237" i="1"/>
  <c r="AC237" i="1" s="1"/>
  <c r="V237" i="1"/>
  <c r="Y236" i="1"/>
  <c r="AC236" i="1" s="1"/>
  <c r="V236" i="1"/>
  <c r="Z236" i="1" s="1"/>
  <c r="Y235" i="1"/>
  <c r="AC235" i="1" s="1"/>
  <c r="V235" i="1"/>
  <c r="Y234" i="1"/>
  <c r="AC234" i="1" s="1"/>
  <c r="V234" i="1"/>
  <c r="Y233" i="1"/>
  <c r="AC233" i="1" s="1"/>
  <c r="V233" i="1"/>
  <c r="Y232" i="1"/>
  <c r="AC232" i="1" s="1"/>
  <c r="V232" i="1"/>
  <c r="Y231" i="1"/>
  <c r="AC231" i="1" s="1"/>
  <c r="V231" i="1"/>
  <c r="Z231" i="1" s="1"/>
  <c r="Y230" i="1"/>
  <c r="AC230" i="1" s="1"/>
  <c r="V230" i="1"/>
  <c r="Z230" i="1" s="1"/>
  <c r="Y229" i="1"/>
  <c r="AC229" i="1" s="1"/>
  <c r="V229" i="1"/>
  <c r="Y228" i="1"/>
  <c r="AC228" i="1" s="1"/>
  <c r="V228" i="1"/>
  <c r="Z228" i="1" s="1"/>
  <c r="Y227" i="1"/>
  <c r="AC227" i="1" s="1"/>
  <c r="V227" i="1"/>
  <c r="Y226" i="1"/>
  <c r="AC226" i="1" s="1"/>
  <c r="V226" i="1"/>
  <c r="Z226" i="1" s="1"/>
  <c r="Y225" i="1"/>
  <c r="AC225" i="1" s="1"/>
  <c r="V225" i="1"/>
  <c r="Y224" i="1"/>
  <c r="AC224" i="1" s="1"/>
  <c r="V224" i="1"/>
  <c r="Y223" i="1"/>
  <c r="AC223" i="1" s="1"/>
  <c r="V223" i="1"/>
  <c r="Z223" i="1" s="1"/>
  <c r="Y222" i="1"/>
  <c r="AC222" i="1" s="1"/>
  <c r="V222" i="1"/>
  <c r="Y221" i="1"/>
  <c r="AC221" i="1" s="1"/>
  <c r="V221" i="1"/>
  <c r="Y220" i="1"/>
  <c r="AC220" i="1" s="1"/>
  <c r="V220" i="1"/>
  <c r="Y219" i="1"/>
  <c r="AC219" i="1" s="1"/>
  <c r="V219" i="1"/>
  <c r="Y218" i="1"/>
  <c r="AC218" i="1" s="1"/>
  <c r="V218" i="1"/>
  <c r="Z218" i="1" s="1"/>
  <c r="Y217" i="1"/>
  <c r="AC217" i="1" s="1"/>
  <c r="V217" i="1"/>
  <c r="Y216" i="1"/>
  <c r="AC216" i="1" s="1"/>
  <c r="V216" i="1"/>
  <c r="Y215" i="1"/>
  <c r="AC215" i="1" s="1"/>
  <c r="V215" i="1"/>
  <c r="Z215" i="1" s="1"/>
  <c r="Y214" i="1"/>
  <c r="AC214" i="1" s="1"/>
  <c r="V214" i="1"/>
  <c r="Y213" i="1"/>
  <c r="AC213" i="1" s="1"/>
  <c r="V213" i="1"/>
  <c r="Y212" i="1"/>
  <c r="AC212" i="1" s="1"/>
  <c r="V212" i="1"/>
  <c r="Z212" i="1" s="1"/>
  <c r="Y211" i="1"/>
  <c r="AC211" i="1" s="1"/>
  <c r="V211" i="1"/>
  <c r="Y210" i="1"/>
  <c r="AC210" i="1" s="1"/>
  <c r="V210" i="1"/>
  <c r="Y209" i="1"/>
  <c r="AC209" i="1" s="1"/>
  <c r="V209" i="1"/>
  <c r="Z209" i="1" s="1"/>
  <c r="Y208" i="1"/>
  <c r="AC208" i="1" s="1"/>
  <c r="V208" i="1"/>
  <c r="Y207" i="1"/>
  <c r="AC207" i="1" s="1"/>
  <c r="V207" i="1"/>
  <c r="Y206" i="1"/>
  <c r="AC206" i="1" s="1"/>
  <c r="V206" i="1"/>
  <c r="Y205" i="1"/>
  <c r="AC205" i="1" s="1"/>
  <c r="V205" i="1"/>
  <c r="Y204" i="1"/>
  <c r="AC204" i="1" s="1"/>
  <c r="V204" i="1"/>
  <c r="Z204" i="1" s="1"/>
  <c r="Y203" i="1"/>
  <c r="AC203" i="1" s="1"/>
  <c r="V203" i="1"/>
  <c r="Y202" i="1"/>
  <c r="AC202" i="1" s="1"/>
  <c r="V202" i="1"/>
  <c r="Z202" i="1" s="1"/>
  <c r="Y201" i="1"/>
  <c r="AC201" i="1" s="1"/>
  <c r="V201" i="1"/>
  <c r="Y200" i="1"/>
  <c r="AC200" i="1" s="1"/>
  <c r="V200" i="1"/>
  <c r="Y199" i="1"/>
  <c r="AC199" i="1" s="1"/>
  <c r="V199" i="1"/>
  <c r="Y198" i="1"/>
  <c r="AC198" i="1" s="1"/>
  <c r="V198" i="1"/>
  <c r="Z198" i="1" s="1"/>
  <c r="Y197" i="1"/>
  <c r="AC197" i="1" s="1"/>
  <c r="V197" i="1"/>
  <c r="Z197" i="1" s="1"/>
  <c r="Y196" i="1"/>
  <c r="AC196" i="1" s="1"/>
  <c r="V196" i="1"/>
  <c r="Y195" i="1"/>
  <c r="AC195" i="1" s="1"/>
  <c r="V195" i="1"/>
  <c r="Y194" i="1"/>
  <c r="AC194" i="1" s="1"/>
  <c r="V194" i="1"/>
  <c r="Z194" i="1" s="1"/>
  <c r="Y193" i="1"/>
  <c r="AC193" i="1" s="1"/>
  <c r="V193" i="1"/>
  <c r="Y192" i="1"/>
  <c r="AC192" i="1" s="1"/>
  <c r="V192" i="1"/>
  <c r="Y191" i="1"/>
  <c r="AC191" i="1" s="1"/>
  <c r="V191" i="1"/>
  <c r="Z191" i="1" s="1"/>
  <c r="Y190" i="1"/>
  <c r="AC190" i="1" s="1"/>
  <c r="V190" i="1"/>
  <c r="Y189" i="1"/>
  <c r="AC189" i="1" s="1"/>
  <c r="V189" i="1"/>
  <c r="Y188" i="1"/>
  <c r="AC188" i="1" s="1"/>
  <c r="V188" i="1"/>
  <c r="Z188" i="1" s="1"/>
  <c r="Y187" i="1"/>
  <c r="AC187" i="1" s="1"/>
  <c r="V187" i="1"/>
  <c r="Y186" i="1"/>
  <c r="AC186" i="1" s="1"/>
  <c r="V186" i="1"/>
  <c r="Z186" i="1" s="1"/>
  <c r="Y185" i="1"/>
  <c r="AC185" i="1" s="1"/>
  <c r="V185" i="1"/>
  <c r="Y184" i="1"/>
  <c r="AC184" i="1" s="1"/>
  <c r="V184" i="1"/>
  <c r="Y183" i="1"/>
  <c r="AC183" i="1" s="1"/>
  <c r="V183" i="1"/>
  <c r="Z183" i="1" s="1"/>
  <c r="Y182" i="1"/>
  <c r="AC182" i="1" s="1"/>
  <c r="V182" i="1"/>
  <c r="Z182" i="1" s="1"/>
  <c r="Y181" i="1"/>
  <c r="AC181" i="1" s="1"/>
  <c r="V181" i="1"/>
  <c r="Z181" i="1" s="1"/>
  <c r="Y180" i="1"/>
  <c r="AC180" i="1" s="1"/>
  <c r="V180" i="1"/>
  <c r="Z180" i="1" s="1"/>
  <c r="Y179" i="1"/>
  <c r="AC179" i="1" s="1"/>
  <c r="V179" i="1"/>
  <c r="Y178" i="1"/>
  <c r="AC178" i="1" s="1"/>
  <c r="V178" i="1"/>
  <c r="Y177" i="1"/>
  <c r="AC177" i="1" s="1"/>
  <c r="V177" i="1"/>
  <c r="Y176" i="1"/>
  <c r="AC176" i="1" s="1"/>
  <c r="V176" i="1"/>
  <c r="Y175" i="1"/>
  <c r="AC175" i="1" s="1"/>
  <c r="V175" i="1"/>
  <c r="Z175" i="1" s="1"/>
  <c r="Y174" i="1"/>
  <c r="AC174" i="1" s="1"/>
  <c r="V174" i="1"/>
  <c r="Y173" i="1"/>
  <c r="AC173" i="1" s="1"/>
  <c r="V173" i="1"/>
  <c r="Z173" i="1" s="1"/>
  <c r="Y172" i="1"/>
  <c r="AC172" i="1" s="1"/>
  <c r="V172" i="1"/>
  <c r="Z172" i="1" s="1"/>
  <c r="Y171" i="1"/>
  <c r="AC171" i="1" s="1"/>
  <c r="V171" i="1"/>
  <c r="Y170" i="1"/>
  <c r="AC170" i="1" s="1"/>
  <c r="V170" i="1"/>
  <c r="Z170" i="1" s="1"/>
  <c r="Y169" i="1"/>
  <c r="AC169" i="1" s="1"/>
  <c r="V169" i="1"/>
  <c r="Y168" i="1"/>
  <c r="AC168" i="1" s="1"/>
  <c r="V168" i="1"/>
  <c r="Y167" i="1"/>
  <c r="AC167" i="1" s="1"/>
  <c r="V167" i="1"/>
  <c r="Z167" i="1" s="1"/>
  <c r="Y166" i="1"/>
  <c r="AC166" i="1" s="1"/>
  <c r="V166" i="1"/>
  <c r="Y165" i="1"/>
  <c r="AC165" i="1" s="1"/>
  <c r="V165" i="1"/>
  <c r="Z165" i="1" s="1"/>
  <c r="Y164" i="1"/>
  <c r="AC164" i="1" s="1"/>
  <c r="V164" i="1"/>
  <c r="Z164" i="1" s="1"/>
  <c r="Y163" i="1"/>
  <c r="AC163" i="1" s="1"/>
  <c r="V163" i="1"/>
  <c r="Y162" i="1"/>
  <c r="AC162" i="1" s="1"/>
  <c r="V162" i="1"/>
  <c r="Z162" i="1" s="1"/>
  <c r="Y161" i="1"/>
  <c r="AC161" i="1" s="1"/>
  <c r="V161" i="1"/>
  <c r="Z161" i="1" s="1"/>
  <c r="Y160" i="1"/>
  <c r="AC160" i="1" s="1"/>
  <c r="V160" i="1"/>
  <c r="Y159" i="1"/>
  <c r="AC159" i="1" s="1"/>
  <c r="V159" i="1"/>
  <c r="Y158" i="1"/>
  <c r="AC158" i="1" s="1"/>
  <c r="V158" i="1"/>
  <c r="Z158" i="1" s="1"/>
  <c r="Y157" i="1"/>
  <c r="AC157" i="1" s="1"/>
  <c r="V157" i="1"/>
  <c r="Z157" i="1" s="1"/>
  <c r="Y156" i="1"/>
  <c r="AC156" i="1" s="1"/>
  <c r="V156" i="1"/>
  <c r="Z156" i="1" s="1"/>
  <c r="Y155" i="1"/>
  <c r="AC155" i="1" s="1"/>
  <c r="V155" i="1"/>
  <c r="Y154" i="1"/>
  <c r="AC154" i="1" s="1"/>
  <c r="V154" i="1"/>
  <c r="Z154" i="1" s="1"/>
  <c r="Y153" i="1"/>
  <c r="AC153" i="1" s="1"/>
  <c r="V153" i="1"/>
  <c r="Y152" i="1"/>
  <c r="AC152" i="1" s="1"/>
  <c r="V152" i="1"/>
  <c r="Y151" i="1"/>
  <c r="AC151" i="1" s="1"/>
  <c r="V151" i="1"/>
  <c r="Z151" i="1" s="1"/>
  <c r="Y150" i="1"/>
  <c r="AC150" i="1" s="1"/>
  <c r="V150" i="1"/>
  <c r="Y149" i="1"/>
  <c r="AC149" i="1" s="1"/>
  <c r="V149" i="1"/>
  <c r="Z149" i="1" s="1"/>
  <c r="Y148" i="1"/>
  <c r="AC148" i="1" s="1"/>
  <c r="V148" i="1"/>
  <c r="Z148" i="1" s="1"/>
  <c r="Y147" i="1"/>
  <c r="AC147" i="1" s="1"/>
  <c r="V147" i="1"/>
  <c r="Y146" i="1"/>
  <c r="AC146" i="1" s="1"/>
  <c r="V146" i="1"/>
  <c r="Y145" i="1"/>
  <c r="AC145" i="1" s="1"/>
  <c r="V145" i="1"/>
  <c r="Z145" i="1" s="1"/>
  <c r="Y144" i="1"/>
  <c r="AC144" i="1" s="1"/>
  <c r="V144" i="1"/>
  <c r="Y143" i="1"/>
  <c r="AC143" i="1" s="1"/>
  <c r="V143" i="1"/>
  <c r="Z143" i="1" s="1"/>
  <c r="Y142" i="1"/>
  <c r="AC142" i="1" s="1"/>
  <c r="V142" i="1"/>
  <c r="Y141" i="1"/>
  <c r="AC141" i="1" s="1"/>
  <c r="V141" i="1"/>
  <c r="Z141" i="1" s="1"/>
  <c r="Y140" i="1"/>
  <c r="AC140" i="1" s="1"/>
  <c r="V140" i="1"/>
  <c r="Z140" i="1" s="1"/>
  <c r="Y139" i="1"/>
  <c r="AC139" i="1" s="1"/>
  <c r="V139" i="1"/>
  <c r="Y138" i="1"/>
  <c r="AC138" i="1" s="1"/>
  <c r="V138" i="1"/>
  <c r="Y137" i="1"/>
  <c r="AC137" i="1" s="1"/>
  <c r="V137" i="1"/>
  <c r="Y136" i="1"/>
  <c r="AC136" i="1" s="1"/>
  <c r="V136" i="1"/>
  <c r="Y135" i="1"/>
  <c r="AC135" i="1" s="1"/>
  <c r="V135" i="1"/>
  <c r="Y134" i="1"/>
  <c r="AC134" i="1" s="1"/>
  <c r="V134" i="1"/>
  <c r="Z134" i="1" s="1"/>
  <c r="Y133" i="1"/>
  <c r="AC133" i="1" s="1"/>
  <c r="V133" i="1"/>
  <c r="Z133" i="1" s="1"/>
  <c r="Y132" i="1"/>
  <c r="AC132" i="1" s="1"/>
  <c r="V132" i="1"/>
  <c r="Y131" i="1"/>
  <c r="AC131" i="1" s="1"/>
  <c r="V131" i="1"/>
  <c r="Y130" i="1"/>
  <c r="AC130" i="1" s="1"/>
  <c r="V130" i="1"/>
  <c r="Z130" i="1" s="1"/>
  <c r="Y129" i="1"/>
  <c r="AC129" i="1" s="1"/>
  <c r="V129" i="1"/>
  <c r="Y128" i="1"/>
  <c r="AC128" i="1" s="1"/>
  <c r="V128" i="1"/>
  <c r="Y127" i="1"/>
  <c r="AC127" i="1" s="1"/>
  <c r="V127" i="1"/>
  <c r="Z127" i="1" s="1"/>
  <c r="Y126" i="1"/>
  <c r="AC126" i="1" s="1"/>
  <c r="V126" i="1"/>
  <c r="Y125" i="1"/>
  <c r="AC125" i="1" s="1"/>
  <c r="V125" i="1"/>
  <c r="Z125" i="1" s="1"/>
  <c r="Y124" i="1"/>
  <c r="AC124" i="1" s="1"/>
  <c r="V124" i="1"/>
  <c r="Z124" i="1" s="1"/>
  <c r="Y123" i="1"/>
  <c r="AC123" i="1" s="1"/>
  <c r="V123" i="1"/>
  <c r="Y122" i="1"/>
  <c r="AC122" i="1" s="1"/>
  <c r="V122" i="1"/>
  <c r="Z122" i="1" s="1"/>
  <c r="Y121" i="1"/>
  <c r="AC121" i="1" s="1"/>
  <c r="V121" i="1"/>
  <c r="Z121" i="1" s="1"/>
  <c r="Y120" i="1"/>
  <c r="AC120" i="1" s="1"/>
  <c r="V120" i="1"/>
  <c r="Y119" i="1"/>
  <c r="AC119" i="1" s="1"/>
  <c r="V119" i="1"/>
  <c r="Z119" i="1" s="1"/>
  <c r="Y118" i="1"/>
  <c r="AC118" i="1" s="1"/>
  <c r="V118" i="1"/>
  <c r="Y117" i="1"/>
  <c r="AC117" i="1" s="1"/>
  <c r="V117" i="1"/>
  <c r="Z117" i="1" s="1"/>
  <c r="Y116" i="1"/>
  <c r="AC116" i="1" s="1"/>
  <c r="V116" i="1"/>
  <c r="Z116" i="1" s="1"/>
  <c r="Y115" i="1"/>
  <c r="AC115" i="1" s="1"/>
  <c r="V115" i="1"/>
  <c r="Y114" i="1"/>
  <c r="AC114" i="1" s="1"/>
  <c r="V114" i="1"/>
  <c r="Z114" i="1" s="1"/>
  <c r="Y113" i="1"/>
  <c r="AC113" i="1" s="1"/>
  <c r="V113" i="1"/>
  <c r="Y112" i="1"/>
  <c r="AC112" i="1" s="1"/>
  <c r="V112" i="1"/>
  <c r="Y111" i="1"/>
  <c r="AC111" i="1" s="1"/>
  <c r="V111" i="1"/>
  <c r="Y110" i="1"/>
  <c r="AC110" i="1" s="1"/>
  <c r="V110" i="1"/>
  <c r="Y109" i="1"/>
  <c r="AC109" i="1" s="1"/>
  <c r="V109" i="1"/>
  <c r="Z109" i="1" s="1"/>
  <c r="Y108" i="1"/>
  <c r="AC108" i="1" s="1"/>
  <c r="V108" i="1"/>
  <c r="Z108" i="1" s="1"/>
  <c r="Y107" i="1"/>
  <c r="AC107" i="1" s="1"/>
  <c r="V107" i="1"/>
  <c r="Y106" i="1"/>
  <c r="AC106" i="1" s="1"/>
  <c r="V106" i="1"/>
  <c r="Z106" i="1" s="1"/>
  <c r="Y105" i="1"/>
  <c r="AC105" i="1" s="1"/>
  <c r="V105" i="1"/>
  <c r="Y104" i="1"/>
  <c r="AC104" i="1" s="1"/>
  <c r="V104" i="1"/>
  <c r="Y103" i="1"/>
  <c r="AC103" i="1" s="1"/>
  <c r="V103" i="1"/>
  <c r="Y102" i="1"/>
  <c r="AC102" i="1" s="1"/>
  <c r="V102" i="1"/>
  <c r="Y101" i="1"/>
  <c r="AC101" i="1" s="1"/>
  <c r="V101" i="1"/>
  <c r="Z101" i="1" s="1"/>
  <c r="Y100" i="1"/>
  <c r="AC100" i="1" s="1"/>
  <c r="V100" i="1"/>
  <c r="Y99" i="1"/>
  <c r="AC99" i="1" s="1"/>
  <c r="V99" i="1"/>
  <c r="Y98" i="1"/>
  <c r="AC98" i="1" s="1"/>
  <c r="V98" i="1"/>
  <c r="Z98" i="1" s="1"/>
  <c r="Y97" i="1"/>
  <c r="AC97" i="1" s="1"/>
  <c r="V97" i="1"/>
  <c r="Z97" i="1" s="1"/>
  <c r="Y96" i="1"/>
  <c r="AC96" i="1" s="1"/>
  <c r="V96" i="1"/>
  <c r="Y95" i="1"/>
  <c r="AC95" i="1" s="1"/>
  <c r="V95" i="1"/>
  <c r="Y94" i="1"/>
  <c r="AC94" i="1" s="1"/>
  <c r="V94" i="1"/>
  <c r="Y93" i="1"/>
  <c r="AC93" i="1" s="1"/>
  <c r="V93" i="1"/>
  <c r="Z93" i="1" s="1"/>
  <c r="Y92" i="1"/>
  <c r="AC92" i="1" s="1"/>
  <c r="V92" i="1"/>
  <c r="Z92" i="1" s="1"/>
  <c r="Y91" i="1"/>
  <c r="AC91" i="1" s="1"/>
  <c r="V91" i="1"/>
  <c r="Y90" i="1"/>
  <c r="AC90" i="1" s="1"/>
  <c r="V90" i="1"/>
  <c r="Y89" i="1"/>
  <c r="AC89" i="1" s="1"/>
  <c r="V89" i="1"/>
  <c r="Y88" i="1"/>
  <c r="AC88" i="1" s="1"/>
  <c r="V88" i="1"/>
  <c r="Z88" i="1" s="1"/>
  <c r="Y87" i="1"/>
  <c r="AC87" i="1" s="1"/>
  <c r="V87" i="1"/>
  <c r="Y86" i="1"/>
  <c r="AC86" i="1" s="1"/>
  <c r="V86" i="1"/>
  <c r="Y85" i="1"/>
  <c r="AC85" i="1" s="1"/>
  <c r="V85" i="1"/>
  <c r="Y84" i="1"/>
  <c r="AC84" i="1" s="1"/>
  <c r="V84" i="1"/>
  <c r="Y83" i="1"/>
  <c r="AC83" i="1" s="1"/>
  <c r="V83" i="1"/>
  <c r="Y82" i="1"/>
  <c r="AC82" i="1" s="1"/>
  <c r="V82" i="1"/>
  <c r="Y81" i="1"/>
  <c r="AC81" i="1" s="1"/>
  <c r="V81" i="1"/>
  <c r="Y80" i="1"/>
  <c r="AC80" i="1" s="1"/>
  <c r="V80" i="1"/>
  <c r="Z80" i="1" s="1"/>
  <c r="Y79" i="1"/>
  <c r="AC79" i="1" s="1"/>
  <c r="V79" i="1"/>
  <c r="Y78" i="1"/>
  <c r="AC78" i="1" s="1"/>
  <c r="V78" i="1"/>
  <c r="Z78" i="1" s="1"/>
  <c r="Y77" i="1"/>
  <c r="AC77" i="1" s="1"/>
  <c r="V77" i="1"/>
  <c r="Y76" i="1"/>
  <c r="AC76" i="1" s="1"/>
  <c r="V76" i="1"/>
  <c r="Y75" i="1"/>
  <c r="AC75" i="1" s="1"/>
  <c r="V75" i="1"/>
  <c r="Z75" i="1" s="1"/>
  <c r="Y74" i="1"/>
  <c r="AC74" i="1" s="1"/>
  <c r="V74" i="1"/>
  <c r="Z74" i="1" s="1"/>
  <c r="Y73" i="1"/>
  <c r="AC73" i="1" s="1"/>
  <c r="V73" i="1"/>
  <c r="Y72" i="1"/>
  <c r="AC72" i="1" s="1"/>
  <c r="L72" i="1"/>
  <c r="V72" i="1" s="1"/>
  <c r="Z72" i="1" s="1"/>
  <c r="Y71" i="1"/>
  <c r="AC71" i="1" s="1"/>
  <c r="V71" i="1"/>
  <c r="Y70" i="1"/>
  <c r="AC70" i="1" s="1"/>
  <c r="V70" i="1"/>
  <c r="Y69" i="1"/>
  <c r="AC69" i="1" s="1"/>
  <c r="V69" i="1"/>
  <c r="Z69" i="1" s="1"/>
  <c r="Y68" i="1"/>
  <c r="AC68" i="1" s="1"/>
  <c r="V68" i="1"/>
  <c r="Y67" i="1"/>
  <c r="AC67" i="1" s="1"/>
  <c r="V67" i="1"/>
  <c r="Z67" i="1" s="1"/>
  <c r="Y66" i="1"/>
  <c r="AC66" i="1" s="1"/>
  <c r="V66" i="1"/>
  <c r="Y65" i="1"/>
  <c r="AC65" i="1" s="1"/>
  <c r="V65" i="1"/>
  <c r="Y64" i="1"/>
  <c r="AC64" i="1" s="1"/>
  <c r="V64" i="1"/>
  <c r="Z64" i="1" s="1"/>
  <c r="Y63" i="1"/>
  <c r="AC63" i="1" s="1"/>
  <c r="V63" i="1"/>
  <c r="Y62" i="1"/>
  <c r="AC62" i="1" s="1"/>
  <c r="V62" i="1"/>
  <c r="Y61" i="1"/>
  <c r="AC61" i="1" s="1"/>
  <c r="V61" i="1"/>
  <c r="Z61" i="1" s="1"/>
  <c r="Y60" i="1"/>
  <c r="AC60" i="1" s="1"/>
  <c r="V60" i="1"/>
  <c r="Y59" i="1"/>
  <c r="AC59" i="1" s="1"/>
  <c r="V59" i="1"/>
  <c r="Z59" i="1" s="1"/>
  <c r="Y58" i="1"/>
  <c r="AC58" i="1" s="1"/>
  <c r="V58" i="1"/>
  <c r="Y57" i="1"/>
  <c r="AC57" i="1" s="1"/>
  <c r="V57" i="1"/>
  <c r="Y56" i="1"/>
  <c r="AC56" i="1" s="1"/>
  <c r="V56" i="1"/>
  <c r="Z56" i="1" s="1"/>
  <c r="Y55" i="1"/>
  <c r="AC55" i="1" s="1"/>
  <c r="V55" i="1"/>
  <c r="Z55" i="1" s="1"/>
  <c r="Y54" i="1"/>
  <c r="AC54" i="1" s="1"/>
  <c r="V54" i="1"/>
  <c r="Y53" i="1"/>
  <c r="AC53" i="1" s="1"/>
  <c r="V53" i="1"/>
  <c r="Z53" i="1" s="1"/>
  <c r="Y52" i="1"/>
  <c r="AC52" i="1" s="1"/>
  <c r="V52" i="1"/>
  <c r="Y51" i="1"/>
  <c r="AC51" i="1" s="1"/>
  <c r="V51" i="1"/>
  <c r="Y50" i="1"/>
  <c r="AC50" i="1" s="1"/>
  <c r="V50" i="1"/>
  <c r="Y49" i="1"/>
  <c r="AC49" i="1" s="1"/>
  <c r="V49" i="1"/>
  <c r="Y48" i="1"/>
  <c r="AC48" i="1" s="1"/>
  <c r="V48" i="1"/>
  <c r="Y47" i="1"/>
  <c r="AC47" i="1" s="1"/>
  <c r="V47" i="1"/>
  <c r="Z47" i="1" s="1"/>
  <c r="Y46" i="1"/>
  <c r="AC46" i="1" s="1"/>
  <c r="V46" i="1"/>
  <c r="Z46" i="1" s="1"/>
  <c r="Y45" i="1"/>
  <c r="AC45" i="1" s="1"/>
  <c r="V45" i="1"/>
  <c r="Z45" i="1" s="1"/>
  <c r="Y44" i="1"/>
  <c r="AC44" i="1" s="1"/>
  <c r="V44" i="1"/>
  <c r="Y43" i="1"/>
  <c r="AC43" i="1" s="1"/>
  <c r="V43" i="1"/>
  <c r="Y42" i="1"/>
  <c r="AC42" i="1" s="1"/>
  <c r="V42" i="1"/>
  <c r="Y41" i="1"/>
  <c r="AC41" i="1" s="1"/>
  <c r="V41" i="1"/>
  <c r="Y40" i="1"/>
  <c r="AC40" i="1" s="1"/>
  <c r="V40" i="1"/>
  <c r="Y39" i="1"/>
  <c r="AC39" i="1" s="1"/>
  <c r="V39" i="1"/>
  <c r="Z39" i="1" s="1"/>
  <c r="Y38" i="1"/>
  <c r="AC38" i="1" s="1"/>
  <c r="V38" i="1"/>
  <c r="Z38" i="1" s="1"/>
  <c r="Y37" i="1"/>
  <c r="AC37" i="1" s="1"/>
  <c r="V37" i="1"/>
  <c r="Z37" i="1" s="1"/>
  <c r="Y36" i="1"/>
  <c r="AC36" i="1" s="1"/>
  <c r="V36" i="1"/>
  <c r="Y35" i="1"/>
  <c r="AC35" i="1" s="1"/>
  <c r="V35" i="1"/>
  <c r="Y34" i="1"/>
  <c r="AC34" i="1" s="1"/>
  <c r="V34" i="1"/>
  <c r="Y33" i="1"/>
  <c r="AC33" i="1" s="1"/>
  <c r="V33" i="1"/>
  <c r="Y32" i="1"/>
  <c r="AC32" i="1" s="1"/>
  <c r="V32" i="1"/>
  <c r="Y31" i="1"/>
  <c r="AC31" i="1" s="1"/>
  <c r="V31" i="1"/>
  <c r="Y30" i="1"/>
  <c r="AC30" i="1" s="1"/>
  <c r="V30" i="1"/>
  <c r="Z30" i="1" s="1"/>
  <c r="Y29" i="1"/>
  <c r="AC29" i="1" s="1"/>
  <c r="V29" i="1"/>
  <c r="Z29" i="1" s="1"/>
  <c r="Y28" i="1"/>
  <c r="AC28" i="1" s="1"/>
  <c r="V28" i="1"/>
  <c r="Y27" i="1"/>
  <c r="AC27" i="1" s="1"/>
  <c r="V27" i="1"/>
  <c r="Z27" i="1" s="1"/>
  <c r="Y26" i="1"/>
  <c r="AC26" i="1" s="1"/>
  <c r="V26" i="1"/>
  <c r="Y25" i="1"/>
  <c r="AC25" i="1" s="1"/>
  <c r="V25" i="1"/>
  <c r="Y24" i="1"/>
  <c r="AC24" i="1" s="1"/>
  <c r="V24" i="1"/>
  <c r="Z24" i="1" s="1"/>
  <c r="Y23" i="1"/>
  <c r="AC23" i="1" s="1"/>
  <c r="V23" i="1"/>
  <c r="Y22" i="1"/>
  <c r="AC22" i="1" s="1"/>
  <c r="V22" i="1"/>
  <c r="Z22" i="1" s="1"/>
  <c r="Y21" i="1"/>
  <c r="AC21" i="1" s="1"/>
  <c r="V21" i="1"/>
  <c r="Z21" i="1" s="1"/>
  <c r="Y20" i="1"/>
  <c r="AC20" i="1" s="1"/>
  <c r="V20" i="1"/>
  <c r="Y19" i="1"/>
  <c r="AC19" i="1" s="1"/>
  <c r="V19" i="1"/>
  <c r="Y18" i="1"/>
  <c r="AC18" i="1" s="1"/>
  <c r="V18" i="1"/>
  <c r="Y17" i="1"/>
  <c r="AC17" i="1" s="1"/>
  <c r="V17" i="1"/>
  <c r="Y16" i="1"/>
  <c r="AC16" i="1" s="1"/>
  <c r="V16" i="1"/>
  <c r="Y15" i="1"/>
  <c r="AC15" i="1" s="1"/>
  <c r="V15" i="1"/>
  <c r="Y14" i="1"/>
  <c r="AC14" i="1" s="1"/>
  <c r="V14" i="1"/>
  <c r="Z14" i="1" s="1"/>
  <c r="Y13" i="1"/>
  <c r="AC13" i="1" s="1"/>
  <c r="V13" i="1"/>
  <c r="Z13" i="1" s="1"/>
  <c r="Y12" i="1"/>
  <c r="AC12" i="1" s="1"/>
  <c r="V12" i="1"/>
  <c r="Y11" i="1"/>
  <c r="AC11" i="1" s="1"/>
  <c r="V11" i="1"/>
  <c r="Y10" i="1"/>
  <c r="AC10" i="1" s="1"/>
  <c r="V10" i="1"/>
  <c r="Y9" i="1"/>
  <c r="AC9" i="1" s="1"/>
  <c r="V9" i="1"/>
  <c r="Y8" i="1"/>
  <c r="AC8" i="1" s="1"/>
  <c r="V8" i="1"/>
  <c r="Y7" i="1"/>
  <c r="AC7" i="1" s="1"/>
  <c r="V7" i="1"/>
  <c r="Z7" i="1" s="1"/>
  <c r="Y6" i="1"/>
  <c r="AC6" i="1" s="1"/>
  <c r="V6" i="1"/>
  <c r="Z6" i="1" s="1"/>
  <c r="Y5" i="1"/>
  <c r="AC5" i="1" s="1"/>
  <c r="V5" i="1"/>
  <c r="Z5" i="1" s="1"/>
  <c r="Y4" i="1"/>
  <c r="AC4" i="1" s="1"/>
  <c r="V4" i="1"/>
  <c r="Y3" i="1"/>
  <c r="AC3" i="1" s="1"/>
  <c r="V3" i="1"/>
  <c r="AB149" i="1" l="1"/>
  <c r="AB260" i="1"/>
  <c r="AB121" i="1"/>
  <c r="AB125" i="1"/>
  <c r="AB75" i="1"/>
  <c r="AA83" i="1"/>
  <c r="AB127" i="1"/>
  <c r="AB151" i="1"/>
  <c r="AA270" i="1"/>
  <c r="AB106" i="1"/>
  <c r="AA282" i="1"/>
  <c r="AA316" i="1"/>
  <c r="AA66" i="1"/>
  <c r="AB130" i="1"/>
  <c r="AA173" i="1"/>
  <c r="AA130" i="1"/>
  <c r="AB182" i="1"/>
  <c r="AA246" i="1"/>
  <c r="AB250" i="1"/>
  <c r="AB254" i="1"/>
  <c r="AB258" i="1"/>
  <c r="AA290" i="1"/>
  <c r="AA298" i="1"/>
  <c r="AB302" i="1"/>
  <c r="AA32" i="1"/>
  <c r="AA36" i="1"/>
  <c r="AA119" i="1"/>
  <c r="AB279" i="1"/>
  <c r="AA132" i="1"/>
  <c r="AB140" i="1"/>
  <c r="AB202" i="1"/>
  <c r="AB226" i="1"/>
  <c r="AA234" i="1"/>
  <c r="AA24" i="1"/>
  <c r="AA183" i="1"/>
  <c r="Z234" i="1"/>
  <c r="AB234" i="1" s="1"/>
  <c r="AA111" i="1"/>
  <c r="AA266" i="1"/>
  <c r="AA314" i="1"/>
  <c r="AA27" i="1"/>
  <c r="AA255" i="1"/>
  <c r="AB22" i="1"/>
  <c r="AA177" i="1"/>
  <c r="AB311" i="1"/>
  <c r="AB30" i="1"/>
  <c r="AB46" i="1"/>
  <c r="AA73" i="1"/>
  <c r="AA193" i="1"/>
  <c r="AB197" i="1"/>
  <c r="AA205" i="1"/>
  <c r="AB209" i="1"/>
  <c r="AA217" i="1"/>
  <c r="AA233" i="1"/>
  <c r="AA6" i="1"/>
  <c r="AA60" i="1"/>
  <c r="AA67" i="1"/>
  <c r="AA71" i="1"/>
  <c r="AB78" i="1"/>
  <c r="AA82" i="1"/>
  <c r="AA153" i="1"/>
  <c r="AB156" i="1"/>
  <c r="AA231" i="1"/>
  <c r="AA242" i="1"/>
  <c r="AA258" i="1"/>
  <c r="AA10" i="1"/>
  <c r="AB14" i="1"/>
  <c r="AA33" i="1"/>
  <c r="AB117" i="1"/>
  <c r="AB239" i="1"/>
  <c r="AA309" i="1"/>
  <c r="AA313" i="1"/>
  <c r="AA14" i="1"/>
  <c r="AA23" i="1"/>
  <c r="AA114" i="1"/>
  <c r="Z132" i="1"/>
  <c r="AB132" i="1" s="1"/>
  <c r="AA236" i="1"/>
  <c r="AA8" i="1"/>
  <c r="Z111" i="1"/>
  <c r="AB111" i="1" s="1"/>
  <c r="AA151" i="1"/>
  <c r="AB5" i="1"/>
  <c r="AA16" i="1"/>
  <c r="AA20" i="1"/>
  <c r="AB39" i="1"/>
  <c r="AB55" i="1"/>
  <c r="AA81" i="1"/>
  <c r="AB93" i="1"/>
  <c r="AA145" i="1"/>
  <c r="AA156" i="1"/>
  <c r="AA186" i="1"/>
  <c r="AB6" i="1"/>
  <c r="AB282" i="1"/>
  <c r="AA292" i="1"/>
  <c r="AA18" i="1"/>
  <c r="AA76" i="1"/>
  <c r="AA84" i="1"/>
  <c r="AB88" i="1"/>
  <c r="AA118" i="1"/>
  <c r="AA129" i="1"/>
  <c r="AB143" i="1"/>
  <c r="AB175" i="1"/>
  <c r="AB242" i="1"/>
  <c r="AA268" i="1"/>
  <c r="AA19" i="1"/>
  <c r="AA26" i="1"/>
  <c r="AA59" i="1"/>
  <c r="AA63" i="1"/>
  <c r="AB101" i="1"/>
  <c r="AA122" i="1"/>
  <c r="AA126" i="1"/>
  <c r="AA143" i="1"/>
  <c r="AB183" i="1"/>
  <c r="AA226" i="1"/>
  <c r="Z290" i="1"/>
  <c r="AB290" i="1" s="1"/>
  <c r="AA34" i="1"/>
  <c r="AA41" i="1"/>
  <c r="AA48" i="1"/>
  <c r="AB56" i="1"/>
  <c r="AB109" i="1"/>
  <c r="AB165" i="1"/>
  <c r="AB191" i="1"/>
  <c r="AB215" i="1"/>
  <c r="AB223" i="1"/>
  <c r="AA239" i="1"/>
  <c r="AA281" i="1"/>
  <c r="AB284" i="1"/>
  <c r="AB287" i="1"/>
  <c r="AA31" i="1"/>
  <c r="AA35" i="1"/>
  <c r="AA49" i="1"/>
  <c r="AA64" i="1"/>
  <c r="AB74" i="1"/>
  <c r="AA110" i="1"/>
  <c r="AA113" i="1"/>
  <c r="AB134" i="1"/>
  <c r="AB158" i="1"/>
  <c r="AB173" i="1"/>
  <c r="AB231" i="1"/>
  <c r="AA237" i="1"/>
  <c r="AB252" i="1"/>
  <c r="AB24" i="1"/>
  <c r="AA56" i="1"/>
  <c r="AA78" i="1"/>
  <c r="AA161" i="1"/>
  <c r="Z16" i="1"/>
  <c r="AB16" i="1" s="1"/>
  <c r="Z19" i="1"/>
  <c r="AB19" i="1" s="1"/>
  <c r="AA22" i="1"/>
  <c r="AA75" i="1"/>
  <c r="AA109" i="1"/>
  <c r="AA127" i="1"/>
  <c r="AA165" i="1"/>
  <c r="AB7" i="1"/>
  <c r="AA11" i="1"/>
  <c r="AA25" i="1"/>
  <c r="AA28" i="1"/>
  <c r="AA54" i="1"/>
  <c r="AA57" i="1"/>
  <c r="AA103" i="1"/>
  <c r="AA106" i="1"/>
  <c r="AB116" i="1"/>
  <c r="AA125" i="1"/>
  <c r="AB133" i="1"/>
  <c r="AB162" i="1"/>
  <c r="AB180" i="1"/>
  <c r="AB194" i="1"/>
  <c r="AB212" i="1"/>
  <c r="AB230" i="1"/>
  <c r="AB238" i="1"/>
  <c r="AA241" i="1"/>
  <c r="AA247" i="1"/>
  <c r="AA250" i="1"/>
  <c r="AB289" i="1"/>
  <c r="Z313" i="1"/>
  <c r="AB313" i="1" s="1"/>
  <c r="Z316" i="1"/>
  <c r="AB316" i="1" s="1"/>
  <c r="AB64" i="1"/>
  <c r="AB119" i="1"/>
  <c r="AA209" i="1"/>
  <c r="AB244" i="1"/>
  <c r="AB300" i="1"/>
  <c r="AA12" i="1"/>
  <c r="AB47" i="1"/>
  <c r="AB67" i="1"/>
  <c r="AA97" i="1"/>
  <c r="Z32" i="1"/>
  <c r="AB32" i="1" s="1"/>
  <c r="Z35" i="1"/>
  <c r="AB35" i="1" s="1"/>
  <c r="Z83" i="1"/>
  <c r="AB83" i="1" s="1"/>
  <c r="AA117" i="1"/>
  <c r="AA141" i="1"/>
  <c r="AA170" i="1"/>
  <c r="AA181" i="1"/>
  <c r="AA202" i="1"/>
  <c r="AA262" i="1"/>
  <c r="AA276" i="1"/>
  <c r="AB45" i="1"/>
  <c r="AA62" i="1"/>
  <c r="AA65" i="1"/>
  <c r="AA68" i="1"/>
  <c r="AB98" i="1"/>
  <c r="AA105" i="1"/>
  <c r="AB108" i="1"/>
  <c r="AB154" i="1"/>
  <c r="AB157" i="1"/>
  <c r="AB164" i="1"/>
  <c r="AB167" i="1"/>
  <c r="AA178" i="1"/>
  <c r="AB188" i="1"/>
  <c r="AA199" i="1"/>
  <c r="AA210" i="1"/>
  <c r="AB218" i="1"/>
  <c r="AA228" i="1"/>
  <c r="AA263" i="1"/>
  <c r="AA277" i="1"/>
  <c r="AA297" i="1"/>
  <c r="AA301" i="1"/>
  <c r="AA308" i="1"/>
  <c r="AB27" i="1"/>
  <c r="Z90" i="1"/>
  <c r="AB90" i="1" s="1"/>
  <c r="AA90" i="1"/>
  <c r="AA201" i="1"/>
  <c r="Z201" i="1"/>
  <c r="AB201" i="1" s="1"/>
  <c r="AA220" i="1"/>
  <c r="Z220" i="1"/>
  <c r="AB220" i="1" s="1"/>
  <c r="AA265" i="1"/>
  <c r="Z265" i="1"/>
  <c r="AB265" i="1" s="1"/>
  <c r="AB38" i="1"/>
  <c r="AA87" i="1"/>
  <c r="Z87" i="1"/>
  <c r="AB87" i="1" s="1"/>
  <c r="AB97" i="1"/>
  <c r="AB141" i="1"/>
  <c r="AA159" i="1"/>
  <c r="Z159" i="1"/>
  <c r="AB159" i="1" s="1"/>
  <c r="AA303" i="1"/>
  <c r="Z303" i="1"/>
  <c r="AB303" i="1" s="1"/>
  <c r="AA169" i="1"/>
  <c r="Z169" i="1"/>
  <c r="AB169" i="1" s="1"/>
  <c r="AA5" i="1"/>
  <c r="AA17" i="1"/>
  <c r="AA30" i="1"/>
  <c r="Z48" i="1"/>
  <c r="AB48" i="1" s="1"/>
  <c r="Z138" i="1"/>
  <c r="AB138" i="1" s="1"/>
  <c r="AA138" i="1"/>
  <c r="AA166" i="1"/>
  <c r="AA225" i="1"/>
  <c r="Z225" i="1"/>
  <c r="AB225" i="1" s="1"/>
  <c r="AB262" i="1"/>
  <c r="AA9" i="1"/>
  <c r="AA15" i="1"/>
  <c r="Z15" i="1"/>
  <c r="AB15" i="1" s="1"/>
  <c r="Z43" i="1"/>
  <c r="AB43" i="1" s="1"/>
  <c r="AA43" i="1"/>
  <c r="AB53" i="1"/>
  <c r="AB59" i="1"/>
  <c r="AA102" i="1"/>
  <c r="Z102" i="1"/>
  <c r="AB102" i="1" s="1"/>
  <c r="Z135" i="1"/>
  <c r="AB135" i="1" s="1"/>
  <c r="AA135" i="1"/>
  <c r="AA154" i="1"/>
  <c r="AA174" i="1"/>
  <c r="AB181" i="1"/>
  <c r="Z196" i="1"/>
  <c r="AB196" i="1" s="1"/>
  <c r="AA196" i="1"/>
  <c r="AA214" i="1"/>
  <c r="AA222" i="1"/>
  <c r="AA249" i="1"/>
  <c r="Z249" i="1"/>
  <c r="AB249" i="1" s="1"/>
  <c r="Z95" i="1"/>
  <c r="AB95" i="1" s="1"/>
  <c r="AA95" i="1"/>
  <c r="Z3" i="1"/>
  <c r="AB3" i="1" s="1"/>
  <c r="AA3" i="1"/>
  <c r="AA40" i="1"/>
  <c r="AB72" i="1"/>
  <c r="AB92" i="1"/>
  <c r="AA207" i="1"/>
  <c r="Z207" i="1"/>
  <c r="AB207" i="1" s="1"/>
  <c r="Z274" i="1"/>
  <c r="AB274" i="1" s="1"/>
  <c r="AA274" i="1"/>
  <c r="AA257" i="1"/>
  <c r="Z257" i="1"/>
  <c r="AB257" i="1" s="1"/>
  <c r="AA100" i="1"/>
  <c r="Z100" i="1"/>
  <c r="AB100" i="1" s="1"/>
  <c r="AA4" i="1"/>
  <c r="AA38" i="1"/>
  <c r="Z40" i="1"/>
  <c r="AB40" i="1" s="1"/>
  <c r="AA51" i="1"/>
  <c r="Z51" i="1"/>
  <c r="AB51" i="1" s="1"/>
  <c r="Z70" i="1"/>
  <c r="AB70" i="1" s="1"/>
  <c r="AA70" i="1"/>
  <c r="Z146" i="1"/>
  <c r="AB146" i="1" s="1"/>
  <c r="AA146" i="1"/>
  <c r="AA149" i="1"/>
  <c r="AA271" i="1"/>
  <c r="Z271" i="1"/>
  <c r="AB271" i="1" s="1"/>
  <c r="Z306" i="1"/>
  <c r="AB306" i="1" s="1"/>
  <c r="AA306" i="1"/>
  <c r="AA133" i="1"/>
  <c r="AA164" i="1"/>
  <c r="AA254" i="1"/>
  <c r="AB268" i="1"/>
  <c r="AA294" i="1"/>
  <c r="AB13" i="1"/>
  <c r="Z8" i="1"/>
  <c r="AB8" i="1" s="1"/>
  <c r="Z11" i="1"/>
  <c r="AB11" i="1" s="1"/>
  <c r="AB21" i="1"/>
  <c r="Z23" i="1"/>
  <c r="AB23" i="1" s="1"/>
  <c r="Z31" i="1"/>
  <c r="AB31" i="1" s="1"/>
  <c r="AA39" i="1"/>
  <c r="AA44" i="1"/>
  <c r="AA47" i="1"/>
  <c r="AA52" i="1"/>
  <c r="AA58" i="1"/>
  <c r="Z63" i="1"/>
  <c r="AB63" i="1" s="1"/>
  <c r="Z71" i="1"/>
  <c r="AB71" i="1" s="1"/>
  <c r="AA77" i="1"/>
  <c r="Z82" i="1"/>
  <c r="AB82" i="1" s="1"/>
  <c r="AA98" i="1"/>
  <c r="AA101" i="1"/>
  <c r="Z103" i="1"/>
  <c r="AB103" i="1" s="1"/>
  <c r="AA108" i="1"/>
  <c r="Z110" i="1"/>
  <c r="AB110" i="1" s="1"/>
  <c r="AA121" i="1"/>
  <c r="AA162" i="1"/>
  <c r="AA167" i="1"/>
  <c r="AA175" i="1"/>
  <c r="Z178" i="1"/>
  <c r="AB178" i="1" s="1"/>
  <c r="AA180" i="1"/>
  <c r="AA191" i="1"/>
  <c r="AA194" i="1"/>
  <c r="Z199" i="1"/>
  <c r="AB199" i="1" s="1"/>
  <c r="Z210" i="1"/>
  <c r="AB210" i="1" s="1"/>
  <c r="AA212" i="1"/>
  <c r="AA215" i="1"/>
  <c r="AA218" i="1"/>
  <c r="AA223" i="1"/>
  <c r="Z247" i="1"/>
  <c r="AB247" i="1" s="1"/>
  <c r="AA252" i="1"/>
  <c r="AA260" i="1"/>
  <c r="Z263" i="1"/>
  <c r="AB263" i="1" s="1"/>
  <c r="AA284" i="1"/>
  <c r="AA289" i="1"/>
  <c r="Z298" i="1"/>
  <c r="AB298" i="1" s="1"/>
  <c r="AA286" i="1"/>
  <c r="AA300" i="1"/>
  <c r="AA93" i="1"/>
  <c r="AA157" i="1"/>
  <c r="AB204" i="1"/>
  <c r="AB29" i="1"/>
  <c r="AB37" i="1"/>
  <c r="AA42" i="1"/>
  <c r="AA50" i="1"/>
  <c r="AB69" i="1"/>
  <c r="AA86" i="1"/>
  <c r="AA94" i="1"/>
  <c r="AB114" i="1"/>
  <c r="AB122" i="1"/>
  <c r="AA137" i="1"/>
  <c r="AA140" i="1"/>
  <c r="AB145" i="1"/>
  <c r="AB148" i="1"/>
  <c r="AA158" i="1"/>
  <c r="AB186" i="1"/>
  <c r="AA189" i="1"/>
  <c r="AA213" i="1"/>
  <c r="AA221" i="1"/>
  <c r="AB228" i="1"/>
  <c r="AB236" i="1"/>
  <c r="AB255" i="1"/>
  <c r="AA261" i="1"/>
  <c r="AB266" i="1"/>
  <c r="AB276" i="1"/>
  <c r="AA279" i="1"/>
  <c r="AB295" i="1"/>
  <c r="AA302" i="1"/>
  <c r="AA305" i="1"/>
  <c r="AB308" i="1"/>
  <c r="AA311" i="1"/>
  <c r="AB61" i="1"/>
  <c r="AB80" i="1"/>
  <c r="AA89" i="1"/>
  <c r="AA206" i="1"/>
  <c r="AA229" i="1"/>
  <c r="AA245" i="1"/>
  <c r="AA253" i="1"/>
  <c r="AA273" i="1"/>
  <c r="AA285" i="1"/>
  <c r="AA293" i="1"/>
  <c r="AB172" i="1"/>
  <c r="AA46" i="1"/>
  <c r="AA55" i="1"/>
  <c r="AA74" i="1"/>
  <c r="AA79" i="1"/>
  <c r="AA88" i="1"/>
  <c r="AA116" i="1"/>
  <c r="AB124" i="1"/>
  <c r="AA142" i="1"/>
  <c r="AA150" i="1"/>
  <c r="AB170" i="1"/>
  <c r="AA185" i="1"/>
  <c r="AA188" i="1"/>
  <c r="AA197" i="1"/>
  <c r="AA269" i="1"/>
  <c r="AA278" i="1"/>
  <c r="AA287" i="1"/>
  <c r="AB292" i="1"/>
  <c r="AA295" i="1"/>
  <c r="AA310" i="1"/>
  <c r="AA128" i="1"/>
  <c r="Z128" i="1"/>
  <c r="AB128" i="1" s="1"/>
  <c r="AA152" i="1"/>
  <c r="Z152" i="1"/>
  <c r="AB152" i="1" s="1"/>
  <c r="AA91" i="1"/>
  <c r="Z91" i="1"/>
  <c r="AB91" i="1" s="1"/>
  <c r="AA104" i="1"/>
  <c r="Z104" i="1"/>
  <c r="AB104" i="1" s="1"/>
  <c r="AB161" i="1"/>
  <c r="AB198" i="1"/>
  <c r="AA203" i="1"/>
  <c r="Z203" i="1"/>
  <c r="AB203" i="1" s="1"/>
  <c r="AA230" i="1"/>
  <c r="AA232" i="1"/>
  <c r="Z232" i="1"/>
  <c r="AB232" i="1" s="1"/>
  <c r="AA243" i="1"/>
  <c r="Z243" i="1"/>
  <c r="AB243" i="1" s="1"/>
  <c r="AA267" i="1"/>
  <c r="Z267" i="1"/>
  <c r="AB267" i="1" s="1"/>
  <c r="AA272" i="1"/>
  <c r="Z272" i="1"/>
  <c r="AB272" i="1" s="1"/>
  <c r="AB294" i="1"/>
  <c r="AA312" i="1"/>
  <c r="Z312" i="1"/>
  <c r="AB312" i="1" s="1"/>
  <c r="AA315" i="1"/>
  <c r="Z315" i="1"/>
  <c r="AB315" i="1" s="1"/>
  <c r="Z10" i="1"/>
  <c r="AB10" i="1" s="1"/>
  <c r="AA13" i="1"/>
  <c r="Z18" i="1"/>
  <c r="AB18" i="1" s="1"/>
  <c r="AA21" i="1"/>
  <c r="Z26" i="1"/>
  <c r="AB26" i="1" s="1"/>
  <c r="AA29" i="1"/>
  <c r="Z34" i="1"/>
  <c r="AB34" i="1" s="1"/>
  <c r="AA37" i="1"/>
  <c r="Z42" i="1"/>
  <c r="AB42" i="1" s="1"/>
  <c r="AA45" i="1"/>
  <c r="Z50" i="1"/>
  <c r="AB50" i="1" s="1"/>
  <c r="AA53" i="1"/>
  <c r="Z58" i="1"/>
  <c r="AB58" i="1" s="1"/>
  <c r="AA61" i="1"/>
  <c r="Z66" i="1"/>
  <c r="AB66" i="1" s="1"/>
  <c r="AA69" i="1"/>
  <c r="AA72" i="1"/>
  <c r="Z77" i="1"/>
  <c r="AB77" i="1" s="1"/>
  <c r="AA80" i="1"/>
  <c r="Z89" i="1"/>
  <c r="AB89" i="1" s="1"/>
  <c r="Z113" i="1"/>
  <c r="AB113" i="1" s="1"/>
  <c r="AA124" i="1"/>
  <c r="Z126" i="1"/>
  <c r="AB126" i="1" s="1"/>
  <c r="Z137" i="1"/>
  <c r="AB137" i="1" s="1"/>
  <c r="AA148" i="1"/>
  <c r="Z150" i="1"/>
  <c r="AB150" i="1" s="1"/>
  <c r="AA155" i="1"/>
  <c r="Z155" i="1"/>
  <c r="AB155" i="1" s="1"/>
  <c r="AA172" i="1"/>
  <c r="Z174" i="1"/>
  <c r="AB174" i="1" s="1"/>
  <c r="Z185" i="1"/>
  <c r="AB185" i="1" s="1"/>
  <c r="AA190" i="1"/>
  <c r="AA192" i="1"/>
  <c r="Z192" i="1"/>
  <c r="AB192" i="1" s="1"/>
  <c r="Z214" i="1"/>
  <c r="AB214" i="1" s="1"/>
  <c r="AA219" i="1"/>
  <c r="Z219" i="1"/>
  <c r="AB219" i="1" s="1"/>
  <c r="Z241" i="1"/>
  <c r="AB241" i="1" s="1"/>
  <c r="AA275" i="1"/>
  <c r="Z275" i="1"/>
  <c r="AB275" i="1" s="1"/>
  <c r="AA280" i="1"/>
  <c r="Z280" i="1"/>
  <c r="AB280" i="1" s="1"/>
  <c r="Z297" i="1"/>
  <c r="AB297" i="1" s="1"/>
  <c r="AA307" i="1"/>
  <c r="Z307" i="1"/>
  <c r="AB307" i="1" s="1"/>
  <c r="AA115" i="1"/>
  <c r="Z115" i="1"/>
  <c r="AB115" i="1" s="1"/>
  <c r="AA163" i="1"/>
  <c r="Z163" i="1"/>
  <c r="AB163" i="1" s="1"/>
  <c r="AA216" i="1"/>
  <c r="Z216" i="1"/>
  <c r="AB216" i="1" s="1"/>
  <c r="AA107" i="1"/>
  <c r="Z107" i="1"/>
  <c r="AB107" i="1" s="1"/>
  <c r="AA144" i="1"/>
  <c r="Z144" i="1"/>
  <c r="AB144" i="1" s="1"/>
  <c r="AA208" i="1"/>
  <c r="Z208" i="1"/>
  <c r="AB208" i="1" s="1"/>
  <c r="Z4" i="1"/>
  <c r="AB4" i="1" s="1"/>
  <c r="AA7" i="1"/>
  <c r="Z12" i="1"/>
  <c r="AB12" i="1" s="1"/>
  <c r="Z20" i="1"/>
  <c r="AB20" i="1" s="1"/>
  <c r="Z28" i="1"/>
  <c r="AB28" i="1" s="1"/>
  <c r="Z36" i="1"/>
  <c r="AB36" i="1" s="1"/>
  <c r="Z44" i="1"/>
  <c r="AB44" i="1" s="1"/>
  <c r="Z52" i="1"/>
  <c r="AB52" i="1" s="1"/>
  <c r="Z60" i="1"/>
  <c r="AB60" i="1" s="1"/>
  <c r="Z68" i="1"/>
  <c r="AB68" i="1" s="1"/>
  <c r="Z79" i="1"/>
  <c r="AB79" i="1" s="1"/>
  <c r="AA96" i="1"/>
  <c r="Z96" i="1"/>
  <c r="AB96" i="1" s="1"/>
  <c r="Z129" i="1"/>
  <c r="AB129" i="1" s="1"/>
  <c r="Z153" i="1"/>
  <c r="AB153" i="1" s="1"/>
  <c r="Z177" i="1"/>
  <c r="AB177" i="1" s="1"/>
  <c r="Z190" i="1"/>
  <c r="AB190" i="1" s="1"/>
  <c r="AA195" i="1"/>
  <c r="Z195" i="1"/>
  <c r="AB195" i="1" s="1"/>
  <c r="Z217" i="1"/>
  <c r="AB217" i="1" s="1"/>
  <c r="AA224" i="1"/>
  <c r="Z224" i="1"/>
  <c r="AB224" i="1" s="1"/>
  <c r="AA235" i="1"/>
  <c r="Z235" i="1"/>
  <c r="AB235" i="1" s="1"/>
  <c r="AA251" i="1"/>
  <c r="Z251" i="1"/>
  <c r="AB251" i="1" s="1"/>
  <c r="AB270" i="1"/>
  <c r="AA283" i="1"/>
  <c r="Z283" i="1"/>
  <c r="AB283" i="1" s="1"/>
  <c r="AA288" i="1"/>
  <c r="Z288" i="1"/>
  <c r="AB288" i="1" s="1"/>
  <c r="Z305" i="1"/>
  <c r="AB305" i="1" s="1"/>
  <c r="AB310" i="1"/>
  <c r="AA176" i="1"/>
  <c r="Z176" i="1"/>
  <c r="AB176" i="1" s="1"/>
  <c r="AA304" i="1"/>
  <c r="Z304" i="1"/>
  <c r="AB304" i="1" s="1"/>
  <c r="AA120" i="1"/>
  <c r="Z120" i="1"/>
  <c r="AB120" i="1" s="1"/>
  <c r="AA131" i="1"/>
  <c r="Z131" i="1"/>
  <c r="AB131" i="1" s="1"/>
  <c r="AA168" i="1"/>
  <c r="Z168" i="1"/>
  <c r="AB168" i="1" s="1"/>
  <c r="AA248" i="1"/>
  <c r="Z248" i="1"/>
  <c r="AB248" i="1" s="1"/>
  <c r="Z9" i="1"/>
  <c r="AB9" i="1" s="1"/>
  <c r="Z17" i="1"/>
  <c r="AB17" i="1" s="1"/>
  <c r="Z25" i="1"/>
  <c r="AB25" i="1" s="1"/>
  <c r="Z33" i="1"/>
  <c r="AB33" i="1" s="1"/>
  <c r="Z41" i="1"/>
  <c r="AB41" i="1" s="1"/>
  <c r="Z49" i="1"/>
  <c r="AB49" i="1" s="1"/>
  <c r="Z57" i="1"/>
  <c r="AB57" i="1" s="1"/>
  <c r="Z65" i="1"/>
  <c r="AB65" i="1" s="1"/>
  <c r="Z76" i="1"/>
  <c r="AB76" i="1" s="1"/>
  <c r="Z84" i="1"/>
  <c r="AB84" i="1" s="1"/>
  <c r="Z86" i="1"/>
  <c r="AB86" i="1" s="1"/>
  <c r="Z105" i="1"/>
  <c r="AB105" i="1" s="1"/>
  <c r="Z118" i="1"/>
  <c r="AB118" i="1" s="1"/>
  <c r="AA123" i="1"/>
  <c r="Z123" i="1"/>
  <c r="AB123" i="1" s="1"/>
  <c r="Z142" i="1"/>
  <c r="AB142" i="1" s="1"/>
  <c r="AA147" i="1"/>
  <c r="Z147" i="1"/>
  <c r="AB147" i="1" s="1"/>
  <c r="AA160" i="1"/>
  <c r="Z160" i="1"/>
  <c r="AB160" i="1" s="1"/>
  <c r="Z166" i="1"/>
  <c r="AB166" i="1" s="1"/>
  <c r="AA171" i="1"/>
  <c r="Z171" i="1"/>
  <c r="AB171" i="1" s="1"/>
  <c r="Z206" i="1"/>
  <c r="AB206" i="1" s="1"/>
  <c r="Z233" i="1"/>
  <c r="AB233" i="1" s="1"/>
  <c r="Z246" i="1"/>
  <c r="AB246" i="1" s="1"/>
  <c r="AA256" i="1"/>
  <c r="Z256" i="1"/>
  <c r="AB256" i="1" s="1"/>
  <c r="Z273" i="1"/>
  <c r="AB273" i="1" s="1"/>
  <c r="AB278" i="1"/>
  <c r="AA187" i="1"/>
  <c r="Z187" i="1"/>
  <c r="AB187" i="1" s="1"/>
  <c r="AA299" i="1"/>
  <c r="Z299" i="1"/>
  <c r="AB299" i="1" s="1"/>
  <c r="AA179" i="1"/>
  <c r="Z179" i="1"/>
  <c r="AB179" i="1" s="1"/>
  <c r="Z54" i="1"/>
  <c r="AB54" i="1" s="1"/>
  <c r="Z62" i="1"/>
  <c r="AB62" i="1" s="1"/>
  <c r="Z73" i="1"/>
  <c r="AB73" i="1" s="1"/>
  <c r="Z81" i="1"/>
  <c r="AB81" i="1" s="1"/>
  <c r="AA92" i="1"/>
  <c r="Z94" i="1"/>
  <c r="AB94" i="1" s="1"/>
  <c r="AA99" i="1"/>
  <c r="Z99" i="1"/>
  <c r="AB99" i="1" s="1"/>
  <c r="AA112" i="1"/>
  <c r="Z112" i="1"/>
  <c r="AB112" i="1" s="1"/>
  <c r="AA134" i="1"/>
  <c r="AA136" i="1"/>
  <c r="Z136" i="1"/>
  <c r="AB136" i="1" s="1"/>
  <c r="AA182" i="1"/>
  <c r="AA184" i="1"/>
  <c r="Z184" i="1"/>
  <c r="AB184" i="1" s="1"/>
  <c r="Z193" i="1"/>
  <c r="AB193" i="1" s="1"/>
  <c r="AA204" i="1"/>
  <c r="AA211" i="1"/>
  <c r="Z211" i="1"/>
  <c r="AB211" i="1" s="1"/>
  <c r="Z222" i="1"/>
  <c r="AB222" i="1" s="1"/>
  <c r="AA238" i="1"/>
  <c r="AA240" i="1"/>
  <c r="Z240" i="1"/>
  <c r="AB240" i="1" s="1"/>
  <c r="AA244" i="1"/>
  <c r="Z281" i="1"/>
  <c r="AB281" i="1" s="1"/>
  <c r="AA291" i="1"/>
  <c r="Z291" i="1"/>
  <c r="AB291" i="1" s="1"/>
  <c r="AA296" i="1"/>
  <c r="Z296" i="1"/>
  <c r="AB296" i="1" s="1"/>
  <c r="AA85" i="1"/>
  <c r="Z85" i="1"/>
  <c r="AB85" i="1" s="1"/>
  <c r="AA139" i="1"/>
  <c r="Z139" i="1"/>
  <c r="AB139" i="1" s="1"/>
  <c r="AA198" i="1"/>
  <c r="AA200" i="1"/>
  <c r="Z200" i="1"/>
  <c r="AB200" i="1" s="1"/>
  <c r="AA227" i="1"/>
  <c r="Z227" i="1"/>
  <c r="AB227" i="1" s="1"/>
  <c r="AA259" i="1"/>
  <c r="Z259" i="1"/>
  <c r="AB259" i="1" s="1"/>
  <c r="AA264" i="1"/>
  <c r="Z264" i="1"/>
  <c r="AB264" i="1" s="1"/>
  <c r="AB286" i="1"/>
  <c r="Z189" i="1"/>
  <c r="AB189" i="1" s="1"/>
  <c r="Z205" i="1"/>
  <c r="AB205" i="1" s="1"/>
  <c r="Z213" i="1"/>
  <c r="AB213" i="1" s="1"/>
  <c r="Z221" i="1"/>
  <c r="AB221" i="1" s="1"/>
  <c r="Z229" i="1"/>
  <c r="AB229" i="1" s="1"/>
  <c r="Z237" i="1"/>
  <c r="AB237" i="1" s="1"/>
  <c r="Z245" i="1"/>
  <c r="AB245" i="1" s="1"/>
  <c r="Z253" i="1"/>
  <c r="AB253" i="1" s="1"/>
  <c r="Z261" i="1"/>
  <c r="AB261" i="1" s="1"/>
  <c r="Z269" i="1"/>
  <c r="AB269" i="1" s="1"/>
  <c r="Z277" i="1"/>
  <c r="AB277" i="1" s="1"/>
  <c r="Z285" i="1"/>
  <c r="AB285" i="1" s="1"/>
  <c r="Z293" i="1"/>
  <c r="AB293" i="1" s="1"/>
  <c r="Z301" i="1"/>
  <c r="AB301" i="1" s="1"/>
  <c r="Z309" i="1"/>
  <c r="AB309" i="1" s="1"/>
  <c r="Z314" i="1"/>
  <c r="AB314" i="1" s="1"/>
</calcChain>
</file>

<file path=xl/sharedStrings.xml><?xml version="1.0" encoding="utf-8"?>
<sst xmlns="http://schemas.openxmlformats.org/spreadsheetml/2006/main" count="2812" uniqueCount="809">
  <si>
    <t>S.No</t>
  </si>
  <si>
    <t>Trip Number</t>
  </si>
  <si>
    <t>Vehicle number</t>
  </si>
  <si>
    <t>MONTH</t>
  </si>
  <si>
    <t>Loading date</t>
  </si>
  <si>
    <t>PLANT NAME</t>
  </si>
  <si>
    <t>From</t>
  </si>
  <si>
    <t>To</t>
  </si>
  <si>
    <t>Car QTY</t>
  </si>
  <si>
    <t>INVOICE AMOUNT2</t>
  </si>
  <si>
    <t>Diesel</t>
  </si>
  <si>
    <t>TOLL</t>
  </si>
  <si>
    <t>Border</t>
  </si>
  <si>
    <t>Mumbai cran</t>
  </si>
  <si>
    <t>Maintenes</t>
  </si>
  <si>
    <t>Pod</t>
  </si>
  <si>
    <t>Police/Gurd</t>
  </si>
  <si>
    <t xml:space="preserve">Conductor </t>
  </si>
  <si>
    <t>Parking</t>
  </si>
  <si>
    <t>OTHER</t>
  </si>
  <si>
    <t>Ad Blue</t>
  </si>
  <si>
    <t>Total Exp.</t>
  </si>
  <si>
    <t>LOAD K.M</t>
  </si>
  <si>
    <t>EMPTY K.M</t>
  </si>
  <si>
    <t>Total k.m</t>
  </si>
  <si>
    <t>Profit/loss</t>
  </si>
  <si>
    <t>EXP PER K.M</t>
  </si>
  <si>
    <t>PROFIT PER K.M</t>
  </si>
  <si>
    <t>PB-2025/26-001</t>
  </si>
  <si>
    <t>NL01AJ7842</t>
  </si>
  <si>
    <t>MARKET</t>
  </si>
  <si>
    <t>MANESAR</t>
  </si>
  <si>
    <t>AHMEDABAD</t>
  </si>
  <si>
    <t>PB-2025/26-002</t>
  </si>
  <si>
    <t>NL01AJ7843</t>
  </si>
  <si>
    <t>TATA</t>
  </si>
  <si>
    <t>PUNE</t>
  </si>
  <si>
    <t>BHUNESHWAR + CUTTACK</t>
  </si>
  <si>
    <t>PB-2025/26-003</t>
  </si>
  <si>
    <t>NL01AJ7847</t>
  </si>
  <si>
    <t>ONGUL + NELLORE+TIRUPATI</t>
  </si>
  <si>
    <r>
      <t>PB-2025/26-004</t>
    </r>
    <r>
      <rPr>
        <sz val="11"/>
        <color theme="1"/>
        <rFont val="Calibri"/>
        <family val="2"/>
        <scheme val="minor"/>
      </rPr>
      <t/>
    </r>
  </si>
  <si>
    <t>TCI</t>
  </si>
  <si>
    <t>HALOL</t>
  </si>
  <si>
    <t>THANE</t>
  </si>
  <si>
    <t>PB-2025/26-005</t>
  </si>
  <si>
    <t>NL01AJ7844</t>
  </si>
  <si>
    <r>
      <t>PB-2025/26-006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</si>
  <si>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D0D0D"/>
        <rFont val="Calibri"/>
        <family val="1"/>
      </rPr>
      <t>NL01AJ6551</t>
    </r>
  </si>
  <si>
    <t>PB-2025/26-007</t>
  </si>
  <si>
    <r>
      <rPr>
        <sz val="10"/>
        <color rgb="FF0D0D0D"/>
        <rFont val="Calibri"/>
        <family val="1"/>
      </rPr>
      <t>NL01AJ6555</t>
    </r>
  </si>
  <si>
    <r>
      <t>PB-2025/26-008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</si>
  <si>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D0D0D"/>
        <rFont val="Calibri"/>
        <family val="1"/>
      </rPr>
      <t>NL01AJ7849</t>
    </r>
  </si>
  <si>
    <t>PB-2025/26-009</t>
  </si>
  <si>
    <r>
      <rPr>
        <sz val="10"/>
        <color rgb="FF0D0D0D"/>
        <rFont val="Calibri"/>
        <family val="1"/>
      </rPr>
      <t>NL01AJ7845</t>
    </r>
  </si>
  <si>
    <t>MUMBAI</t>
  </si>
  <si>
    <r>
      <t>PB-2025/26-010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</si>
  <si>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D0D0D"/>
        <rFont val="Calibri"/>
        <family val="1"/>
      </rPr>
      <t>NL01AJ7846</t>
    </r>
  </si>
  <si>
    <r>
      <t>PB-2025/26-011</t>
    </r>
    <r>
      <rPr>
        <sz val="11"/>
        <color theme="1"/>
        <rFont val="Calibri"/>
        <family val="2"/>
        <scheme val="minor"/>
      </rPr>
      <t/>
    </r>
  </si>
  <si>
    <t>NL01AJ6557</t>
  </si>
  <si>
    <t>14.08.2025</t>
  </si>
  <si>
    <t>VIJAYWADA</t>
  </si>
  <si>
    <r>
      <t>PB-2025/26-012</t>
    </r>
    <r>
      <rPr>
        <sz val="11"/>
        <color theme="1"/>
        <rFont val="Calibri"/>
        <family val="2"/>
        <scheme val="minor"/>
      </rPr>
      <t/>
    </r>
  </si>
  <si>
    <t>NL01AJ7841</t>
  </si>
  <si>
    <t>19.08.2025</t>
  </si>
  <si>
    <t>HYUNDAI</t>
  </si>
  <si>
    <t>CHENNAI</t>
  </si>
  <si>
    <t>PUNE + SANGLI</t>
  </si>
  <si>
    <r>
      <t>PB-2025/26-013</t>
    </r>
    <r>
      <rPr>
        <sz val="11"/>
        <color theme="1"/>
        <rFont val="Calibri"/>
        <family val="2"/>
        <scheme val="minor"/>
      </rPr>
      <t/>
    </r>
  </si>
  <si>
    <t>NL01AJ6555</t>
  </si>
  <si>
    <t>VISAKAPATNAM</t>
  </si>
  <si>
    <r>
      <t>PB-2025/26-014</t>
    </r>
    <r>
      <rPr>
        <sz val="11"/>
        <color theme="1"/>
        <rFont val="Calibri"/>
        <family val="2"/>
        <scheme val="minor"/>
      </rPr>
      <t/>
    </r>
  </si>
  <si>
    <t>NL01AJ6560</t>
  </si>
  <si>
    <t>VISAKAPATNAM + RAJMUNDRE</t>
  </si>
  <si>
    <r>
      <t>PB-2025/26-015</t>
    </r>
    <r>
      <rPr>
        <sz val="11"/>
        <color theme="1"/>
        <rFont val="Calibri"/>
        <family val="2"/>
        <scheme val="minor"/>
      </rPr>
      <t/>
    </r>
  </si>
  <si>
    <t>NL01AJ6552</t>
  </si>
  <si>
    <r>
      <t>PB-2025/26-016</t>
    </r>
    <r>
      <rPr>
        <sz val="11"/>
        <color theme="1"/>
        <rFont val="Calibri"/>
        <family val="2"/>
        <scheme val="minor"/>
      </rPr>
      <t/>
    </r>
  </si>
  <si>
    <t>NL01AJ6553</t>
  </si>
  <si>
    <t>HUBBALI +BELGAUM</t>
  </si>
  <si>
    <r>
      <t>PB-2025/26-017</t>
    </r>
    <r>
      <rPr>
        <sz val="11"/>
        <color theme="1"/>
        <rFont val="Calibri"/>
        <family val="2"/>
        <scheme val="minor"/>
      </rPr>
      <t/>
    </r>
  </si>
  <si>
    <t>22.08.2025</t>
  </si>
  <si>
    <r>
      <t>PB-2025/26-018</t>
    </r>
    <r>
      <rPr>
        <sz val="11"/>
        <color theme="1"/>
        <rFont val="Calibri"/>
        <family val="2"/>
        <scheme val="minor"/>
      </rPr>
      <t/>
    </r>
  </si>
  <si>
    <t>NL01AJ7846</t>
  </si>
  <si>
    <r>
      <t>PB-2025/26-019</t>
    </r>
    <r>
      <rPr>
        <sz val="11"/>
        <color theme="1"/>
        <rFont val="Calibri"/>
        <family val="2"/>
        <scheme val="minor"/>
      </rPr>
      <t/>
    </r>
  </si>
  <si>
    <t>NL01AJ6556</t>
  </si>
  <si>
    <t>HYDERABAD</t>
  </si>
  <si>
    <r>
      <t>PB-2025/26-020</t>
    </r>
    <r>
      <rPr>
        <sz val="11"/>
        <color theme="1"/>
        <rFont val="Calibri"/>
        <family val="2"/>
        <scheme val="minor"/>
      </rPr>
      <t/>
    </r>
  </si>
  <si>
    <t>NL01AJ7845</t>
  </si>
  <si>
    <t>HIMATNAGAR</t>
  </si>
  <si>
    <r>
      <t>PB-2025/26-021</t>
    </r>
    <r>
      <rPr>
        <sz val="11"/>
        <color theme="1"/>
        <rFont val="Calibri"/>
        <family val="2"/>
        <scheme val="minor"/>
      </rPr>
      <t/>
    </r>
  </si>
  <si>
    <r>
      <t>PB-2025/26-022</t>
    </r>
    <r>
      <rPr>
        <sz val="11"/>
        <color theme="1"/>
        <rFont val="Calibri"/>
        <family val="2"/>
        <scheme val="minor"/>
      </rPr>
      <t/>
    </r>
  </si>
  <si>
    <t>WARANGAL + KARIMNAGAR</t>
  </si>
  <si>
    <r>
      <t>PB-2025/26-023</t>
    </r>
    <r>
      <rPr>
        <sz val="11"/>
        <color theme="1"/>
        <rFont val="Calibri"/>
        <family val="2"/>
        <scheme val="minor"/>
      </rPr>
      <t/>
    </r>
  </si>
  <si>
    <t>NL01AJ6558</t>
  </si>
  <si>
    <r>
      <t>PB-2025/26-024</t>
    </r>
    <r>
      <rPr>
        <sz val="11"/>
        <color theme="1"/>
        <rFont val="Calibri"/>
        <family val="2"/>
        <scheme val="minor"/>
      </rPr>
      <t/>
    </r>
  </si>
  <si>
    <t>NL01AJ6554</t>
  </si>
  <si>
    <t>SURAT</t>
  </si>
  <si>
    <r>
      <t>PB-2025/26-025</t>
    </r>
    <r>
      <rPr>
        <sz val="11"/>
        <color theme="1"/>
        <rFont val="Calibri"/>
        <family val="2"/>
        <scheme val="minor"/>
      </rPr>
      <t/>
    </r>
  </si>
  <si>
    <t>NL01AJ7848</t>
  </si>
  <si>
    <t>RUDERPUR</t>
  </si>
  <si>
    <t>LUDHIANA</t>
  </si>
  <si>
    <r>
      <t>PB-2025/26-026</t>
    </r>
    <r>
      <rPr>
        <sz val="11"/>
        <color theme="1"/>
        <rFont val="Calibri"/>
        <family val="2"/>
        <scheme val="minor"/>
      </rPr>
      <t/>
    </r>
  </si>
  <si>
    <t>NL01AJ6559</t>
  </si>
  <si>
    <t>HOSUR + SELAM</t>
  </si>
  <si>
    <r>
      <t>PB-2025/26-027</t>
    </r>
    <r>
      <rPr>
        <sz val="11"/>
        <color theme="1"/>
        <rFont val="Calibri"/>
        <family val="2"/>
        <scheme val="minor"/>
      </rPr>
      <t/>
    </r>
  </si>
  <si>
    <t>NL01AJ6551</t>
  </si>
  <si>
    <t>23.08.2025</t>
  </si>
  <si>
    <t>TANJAVER</t>
  </si>
  <si>
    <r>
      <t>PB-2025/26-028</t>
    </r>
    <r>
      <rPr>
        <sz val="11"/>
        <color theme="1"/>
        <rFont val="Calibri"/>
        <family val="2"/>
        <scheme val="minor"/>
      </rPr>
      <t/>
    </r>
  </si>
  <si>
    <t>NL01AJ7849</t>
  </si>
  <si>
    <r>
      <t>PB-2025/26-029</t>
    </r>
    <r>
      <rPr>
        <sz val="11"/>
        <color theme="1"/>
        <rFont val="Calibri"/>
        <family val="2"/>
        <scheme val="minor"/>
      </rPr>
      <t/>
    </r>
  </si>
  <si>
    <t>NELLORE + TIRUPATI</t>
  </si>
  <si>
    <r>
      <t>PB-2025/26-030</t>
    </r>
    <r>
      <rPr>
        <sz val="11"/>
        <color theme="1"/>
        <rFont val="Calibri"/>
        <family val="2"/>
        <scheme val="minor"/>
      </rPr>
      <t/>
    </r>
  </si>
  <si>
    <t>KIYA</t>
  </si>
  <si>
    <t>ANANTAPUR</t>
  </si>
  <si>
    <t>EXPORT</t>
  </si>
  <si>
    <r>
      <t>PB-2025/26-031</t>
    </r>
    <r>
      <rPr>
        <sz val="11"/>
        <color theme="1"/>
        <rFont val="Calibri"/>
        <family val="2"/>
        <scheme val="minor"/>
      </rPr>
      <t/>
    </r>
  </si>
  <si>
    <t>GANDHIDHAM</t>
  </si>
  <si>
    <r>
      <t>PB-2025/26-032</t>
    </r>
    <r>
      <rPr>
        <sz val="11"/>
        <color theme="1"/>
        <rFont val="Calibri"/>
        <family val="2"/>
        <scheme val="minor"/>
      </rPr>
      <t/>
    </r>
  </si>
  <si>
    <r>
      <t>PB-2025/26-033</t>
    </r>
    <r>
      <rPr>
        <sz val="11"/>
        <color theme="1"/>
        <rFont val="Calibri"/>
        <family val="2"/>
        <scheme val="minor"/>
      </rPr>
      <t/>
    </r>
  </si>
  <si>
    <t>24.08.2025</t>
  </si>
  <si>
    <r>
      <t>PB-2025/26-034</t>
    </r>
    <r>
      <rPr>
        <sz val="11"/>
        <color theme="1"/>
        <rFont val="Calibri"/>
        <family val="2"/>
        <scheme val="minor"/>
      </rPr>
      <t/>
    </r>
  </si>
  <si>
    <t>25..08.2025</t>
  </si>
  <si>
    <r>
      <t>PB-2025/26-035</t>
    </r>
    <r>
      <rPr>
        <sz val="11"/>
        <color theme="1"/>
        <rFont val="Calibri"/>
        <family val="2"/>
        <scheme val="minor"/>
      </rPr>
      <t/>
    </r>
  </si>
  <si>
    <t>27.8.2025</t>
  </si>
  <si>
    <t>COCHIN</t>
  </si>
  <si>
    <r>
      <t>PB-2025/26-036</t>
    </r>
    <r>
      <rPr>
        <sz val="11"/>
        <color theme="1"/>
        <rFont val="Calibri"/>
        <family val="2"/>
        <scheme val="minor"/>
      </rPr>
      <t/>
    </r>
  </si>
  <si>
    <t>RAJMUNDRY + VISAKAPATNAM</t>
  </si>
  <si>
    <r>
      <t>PB-2025/26-037</t>
    </r>
    <r>
      <rPr>
        <sz val="11"/>
        <color theme="1"/>
        <rFont val="Calibri"/>
        <family val="2"/>
        <scheme val="minor"/>
      </rPr>
      <t/>
    </r>
  </si>
  <si>
    <t>BHUBANESWAR</t>
  </si>
  <si>
    <r>
      <t>PB-2025/26-038</t>
    </r>
    <r>
      <rPr>
        <sz val="11"/>
        <color theme="1"/>
        <rFont val="Calibri"/>
        <family val="2"/>
        <scheme val="minor"/>
      </rPr>
      <t/>
    </r>
  </si>
  <si>
    <t>CHINDIGARH</t>
  </si>
  <si>
    <r>
      <t>PB-2025/26-039</t>
    </r>
    <r>
      <rPr>
        <sz val="11"/>
        <color theme="1"/>
        <rFont val="Calibri"/>
        <family val="2"/>
        <scheme val="minor"/>
      </rPr>
      <t/>
    </r>
  </si>
  <si>
    <r>
      <t>PB-2025/26-040</t>
    </r>
    <r>
      <rPr>
        <sz val="11"/>
        <color theme="1"/>
        <rFont val="Calibri"/>
        <family val="2"/>
        <scheme val="minor"/>
      </rPr>
      <t/>
    </r>
  </si>
  <si>
    <t>NL01AJ7850</t>
  </si>
  <si>
    <t>28.08.2025</t>
  </si>
  <si>
    <r>
      <t>PB-2025/26-041</t>
    </r>
    <r>
      <rPr>
        <sz val="11"/>
        <color theme="1"/>
        <rFont val="Calibri"/>
        <family val="2"/>
        <scheme val="minor"/>
      </rPr>
      <t/>
    </r>
  </si>
  <si>
    <t>29.08.2025</t>
  </si>
  <si>
    <t>COIMBATORE</t>
  </si>
  <si>
    <r>
      <t>PB-2025/26-042</t>
    </r>
    <r>
      <rPr>
        <sz val="11"/>
        <color theme="1"/>
        <rFont val="Calibri"/>
        <family val="2"/>
        <scheme val="minor"/>
      </rPr>
      <t/>
    </r>
  </si>
  <si>
    <t>HALDWANI</t>
  </si>
  <si>
    <r>
      <t>PB-2025/26-043</t>
    </r>
    <r>
      <rPr>
        <sz val="11"/>
        <color theme="1"/>
        <rFont val="Calibri"/>
        <family val="2"/>
        <scheme val="minor"/>
      </rPr>
      <t/>
    </r>
  </si>
  <si>
    <t>NISSAN</t>
  </si>
  <si>
    <t>BHILAI + AMBIKAPUR</t>
  </si>
  <si>
    <r>
      <t>PB-2025/26-044</t>
    </r>
    <r>
      <rPr>
        <sz val="11"/>
        <color theme="1"/>
        <rFont val="Calibri"/>
        <family val="2"/>
        <scheme val="minor"/>
      </rPr>
      <t/>
    </r>
  </si>
  <si>
    <r>
      <t>PB-2025/26-045</t>
    </r>
    <r>
      <rPr>
        <sz val="11"/>
        <color theme="1"/>
        <rFont val="Calibri"/>
        <family val="2"/>
        <scheme val="minor"/>
      </rPr>
      <t/>
    </r>
  </si>
  <si>
    <t>UJJAIN</t>
  </si>
  <si>
    <r>
      <t>PB-2025/26-046</t>
    </r>
    <r>
      <rPr>
        <sz val="11"/>
        <color theme="1"/>
        <rFont val="Calibri"/>
        <family val="2"/>
        <scheme val="minor"/>
      </rPr>
      <t/>
    </r>
  </si>
  <si>
    <t>31.08.2025</t>
  </si>
  <si>
    <t>GAZIABAD</t>
  </si>
  <si>
    <r>
      <t>PB-2025/26-047</t>
    </r>
    <r>
      <rPr>
        <sz val="11"/>
        <color theme="1"/>
        <rFont val="Calibri"/>
        <family val="2"/>
        <scheme val="minor"/>
      </rPr>
      <t/>
    </r>
  </si>
  <si>
    <t>BMW</t>
  </si>
  <si>
    <r>
      <t>PB-2025/26-048</t>
    </r>
    <r>
      <rPr>
        <sz val="11"/>
        <color theme="1"/>
        <rFont val="Calibri"/>
        <family val="2"/>
        <scheme val="minor"/>
      </rPr>
      <t/>
    </r>
  </si>
  <si>
    <r>
      <t>PB-2025/26-049</t>
    </r>
    <r>
      <rPr>
        <sz val="11"/>
        <color theme="1"/>
        <rFont val="Calibri"/>
        <family val="2"/>
        <scheme val="minor"/>
      </rPr>
      <t/>
    </r>
  </si>
  <si>
    <t>LUCKNOW</t>
  </si>
  <si>
    <r>
      <t>PB-2025/26-050</t>
    </r>
    <r>
      <rPr>
        <sz val="11"/>
        <color theme="1"/>
        <rFont val="Calibri"/>
        <family val="2"/>
        <scheme val="minor"/>
      </rPr>
      <t/>
    </r>
  </si>
  <si>
    <t>01.09.2025</t>
  </si>
  <si>
    <r>
      <t>PB-2025/26-051</t>
    </r>
    <r>
      <rPr>
        <sz val="11"/>
        <color theme="1"/>
        <rFont val="Calibri"/>
        <family val="2"/>
        <scheme val="minor"/>
      </rPr>
      <t/>
    </r>
  </si>
  <si>
    <t xml:space="preserve"> </t>
  </si>
  <si>
    <t>MADURAI</t>
  </si>
  <si>
    <r>
      <t>PB-2025/26-052</t>
    </r>
    <r>
      <rPr>
        <sz val="11"/>
        <color theme="1"/>
        <rFont val="Calibri"/>
        <family val="2"/>
        <scheme val="minor"/>
      </rPr>
      <t/>
    </r>
  </si>
  <si>
    <r>
      <t>PB-2025/26-053</t>
    </r>
    <r>
      <rPr>
        <sz val="11"/>
        <color theme="1"/>
        <rFont val="Calibri"/>
        <family val="2"/>
        <scheme val="minor"/>
      </rPr>
      <t/>
    </r>
  </si>
  <si>
    <t>03.09.2025</t>
  </si>
  <si>
    <t>HUBBILE</t>
  </si>
  <si>
    <r>
      <t>PB-2025/26-054</t>
    </r>
    <r>
      <rPr>
        <sz val="11"/>
        <color theme="1"/>
        <rFont val="Calibri"/>
        <family val="2"/>
        <scheme val="minor"/>
      </rPr>
      <t/>
    </r>
  </si>
  <si>
    <t>04.09.2025</t>
  </si>
  <si>
    <r>
      <t>PB-2025/26-055</t>
    </r>
    <r>
      <rPr>
        <sz val="11"/>
        <color theme="1"/>
        <rFont val="Calibri"/>
        <family val="2"/>
        <scheme val="minor"/>
      </rPr>
      <t/>
    </r>
  </si>
  <si>
    <t>16.08.2025</t>
  </si>
  <si>
    <r>
      <t>PB-2025/26-056</t>
    </r>
    <r>
      <rPr>
        <sz val="11"/>
        <color theme="1"/>
        <rFont val="Calibri"/>
        <family val="2"/>
        <scheme val="minor"/>
      </rPr>
      <t/>
    </r>
  </si>
  <si>
    <t>10.09.2025</t>
  </si>
  <si>
    <t>SAHPURA</t>
  </si>
  <si>
    <r>
      <t>PB-2025/26-057</t>
    </r>
    <r>
      <rPr>
        <sz val="11"/>
        <color theme="1"/>
        <rFont val="Calibri"/>
        <family val="2"/>
        <scheme val="minor"/>
      </rPr>
      <t/>
    </r>
  </si>
  <si>
    <r>
      <t>PB-2025/26-058</t>
    </r>
    <r>
      <rPr>
        <sz val="11"/>
        <color theme="1"/>
        <rFont val="Calibri"/>
        <family val="2"/>
        <scheme val="minor"/>
      </rPr>
      <t/>
    </r>
  </si>
  <si>
    <t>13.09.2025</t>
  </si>
  <si>
    <r>
      <t>PB-2025/26-059</t>
    </r>
    <r>
      <rPr>
        <sz val="11"/>
        <color theme="1"/>
        <rFont val="Calibri"/>
        <family val="2"/>
        <scheme val="minor"/>
      </rPr>
      <t/>
    </r>
  </si>
  <si>
    <t>AHMEDABAD + ANAND</t>
  </si>
  <si>
    <t>PART PENDING</t>
  </si>
  <si>
    <r>
      <t>PB-2025/26-060</t>
    </r>
    <r>
      <rPr>
        <sz val="11"/>
        <color theme="1"/>
        <rFont val="Calibri"/>
        <family val="2"/>
        <scheme val="minor"/>
      </rPr>
      <t/>
    </r>
  </si>
  <si>
    <t>MAHINDRA</t>
  </si>
  <si>
    <t>JALANDHAR</t>
  </si>
  <si>
    <r>
      <t>PB-2025/26-061</t>
    </r>
    <r>
      <rPr>
        <sz val="11"/>
        <color theme="1"/>
        <rFont val="Calibri"/>
        <family val="2"/>
        <scheme val="minor"/>
      </rPr>
      <t/>
    </r>
  </si>
  <si>
    <r>
      <t>PB-2025/26-062</t>
    </r>
    <r>
      <rPr>
        <sz val="11"/>
        <color theme="1"/>
        <rFont val="Calibri"/>
        <family val="2"/>
        <scheme val="minor"/>
      </rPr>
      <t/>
    </r>
  </si>
  <si>
    <t>PATIALA</t>
  </si>
  <si>
    <r>
      <t>PB-2025/26-063</t>
    </r>
    <r>
      <rPr>
        <sz val="11"/>
        <color theme="1"/>
        <rFont val="Calibri"/>
        <family val="2"/>
        <scheme val="minor"/>
      </rPr>
      <t/>
    </r>
  </si>
  <si>
    <r>
      <t>PB-2025/26-064</t>
    </r>
    <r>
      <rPr>
        <sz val="11"/>
        <color theme="1"/>
        <rFont val="Calibri"/>
        <family val="2"/>
        <scheme val="minor"/>
      </rPr>
      <t/>
    </r>
  </si>
  <si>
    <r>
      <t>PB-2025/26-065</t>
    </r>
    <r>
      <rPr>
        <sz val="11"/>
        <color theme="1"/>
        <rFont val="Calibri"/>
        <family val="2"/>
        <scheme val="minor"/>
      </rPr>
      <t/>
    </r>
  </si>
  <si>
    <t>14.09.2025</t>
  </si>
  <si>
    <t>MUZAFARPUR</t>
  </si>
  <si>
    <r>
      <t>PB-2025/26-066</t>
    </r>
    <r>
      <rPr>
        <sz val="11"/>
        <color theme="1"/>
        <rFont val="Calibri"/>
        <family val="2"/>
        <scheme val="minor"/>
      </rPr>
      <t/>
    </r>
  </si>
  <si>
    <t>GURGAON</t>
  </si>
  <si>
    <r>
      <t>PB-2025/26-067</t>
    </r>
    <r>
      <rPr>
        <sz val="11"/>
        <color theme="1"/>
        <rFont val="Calibri"/>
        <family val="2"/>
        <scheme val="minor"/>
      </rPr>
      <t/>
    </r>
  </si>
  <si>
    <t>16.09.2025</t>
  </si>
  <si>
    <r>
      <t>PB-2025/26-068</t>
    </r>
    <r>
      <rPr>
        <sz val="11"/>
        <color theme="1"/>
        <rFont val="Calibri"/>
        <family val="2"/>
        <scheme val="minor"/>
      </rPr>
      <t/>
    </r>
  </si>
  <si>
    <t>18.09.2025</t>
  </si>
  <si>
    <t>NAGPUR</t>
  </si>
  <si>
    <r>
      <t>PB-2025/26-069</t>
    </r>
    <r>
      <rPr>
        <sz val="11"/>
        <color theme="1"/>
        <rFont val="Calibri"/>
        <family val="2"/>
        <scheme val="minor"/>
      </rPr>
      <t/>
    </r>
  </si>
  <si>
    <t>NASIK</t>
  </si>
  <si>
    <t>BANGLORE</t>
  </si>
  <si>
    <r>
      <t>PB-2025/26-070</t>
    </r>
    <r>
      <rPr>
        <sz val="11"/>
        <color theme="1"/>
        <rFont val="Calibri"/>
        <family val="2"/>
        <scheme val="minor"/>
      </rPr>
      <t/>
    </r>
  </si>
  <si>
    <t>19.09.2025</t>
  </si>
  <si>
    <t>BHARUCH</t>
  </si>
  <si>
    <r>
      <t>PB-2025/26-071</t>
    </r>
    <r>
      <rPr>
        <sz val="11"/>
        <color theme="1"/>
        <rFont val="Calibri"/>
        <family val="2"/>
        <scheme val="minor"/>
      </rPr>
      <t/>
    </r>
  </si>
  <si>
    <r>
      <t>PB-2025/26-072</t>
    </r>
    <r>
      <rPr>
        <sz val="11"/>
        <color theme="1"/>
        <rFont val="Calibri"/>
        <family val="2"/>
        <scheme val="minor"/>
      </rPr>
      <t/>
    </r>
  </si>
  <si>
    <r>
      <t>PB-2025/26-073</t>
    </r>
    <r>
      <rPr>
        <sz val="11"/>
        <color theme="1"/>
        <rFont val="Calibri"/>
        <family val="2"/>
        <scheme val="minor"/>
      </rPr>
      <t/>
    </r>
  </si>
  <si>
    <t>20.09.2025</t>
  </si>
  <si>
    <t>PANVEL</t>
  </si>
  <si>
    <r>
      <t>PB-2025/26-074</t>
    </r>
    <r>
      <rPr>
        <sz val="11"/>
        <color theme="1"/>
        <rFont val="Calibri"/>
        <family val="2"/>
        <scheme val="minor"/>
      </rPr>
      <t/>
    </r>
  </si>
  <si>
    <t>AURANGABAD</t>
  </si>
  <si>
    <r>
      <t>PB-2025/26-075</t>
    </r>
    <r>
      <rPr>
        <sz val="11"/>
        <color theme="1"/>
        <rFont val="Calibri"/>
        <family val="2"/>
        <scheme val="minor"/>
      </rPr>
      <t/>
    </r>
  </si>
  <si>
    <t>AZAMGARH</t>
  </si>
  <si>
    <r>
      <t>PB-2025/26-076</t>
    </r>
    <r>
      <rPr>
        <sz val="11"/>
        <color theme="1"/>
        <rFont val="Calibri"/>
        <family val="2"/>
        <scheme val="minor"/>
      </rPr>
      <t/>
    </r>
  </si>
  <si>
    <r>
      <t>PB-2025/26-077</t>
    </r>
    <r>
      <rPr>
        <sz val="11"/>
        <color theme="1"/>
        <rFont val="Calibri"/>
        <family val="2"/>
        <scheme val="minor"/>
      </rPr>
      <t/>
    </r>
  </si>
  <si>
    <t>ONGOL + TIRUPATI</t>
  </si>
  <si>
    <r>
      <t>PB-2025/26-078</t>
    </r>
    <r>
      <rPr>
        <sz val="11"/>
        <color theme="1"/>
        <rFont val="Calibri"/>
        <family val="2"/>
        <scheme val="minor"/>
      </rPr>
      <t/>
    </r>
  </si>
  <si>
    <t>21.09.2025</t>
  </si>
  <si>
    <t>FARUKNAGAR</t>
  </si>
  <si>
    <t>HARDOI</t>
  </si>
  <si>
    <r>
      <t>PB-2025/26-079</t>
    </r>
    <r>
      <rPr>
        <sz val="11"/>
        <color theme="1"/>
        <rFont val="Calibri"/>
        <family val="2"/>
        <scheme val="minor"/>
      </rPr>
      <t/>
    </r>
  </si>
  <si>
    <r>
      <t>PB-2025/26-080</t>
    </r>
    <r>
      <rPr>
        <sz val="11"/>
        <color theme="1"/>
        <rFont val="Calibri"/>
        <family val="2"/>
        <scheme val="minor"/>
      </rPr>
      <t/>
    </r>
  </si>
  <si>
    <t>SIRSA</t>
  </si>
  <si>
    <r>
      <t>PB-2025/26-081</t>
    </r>
    <r>
      <rPr>
        <sz val="11"/>
        <color theme="1"/>
        <rFont val="Calibri"/>
        <family val="2"/>
        <scheme val="minor"/>
      </rPr>
      <t/>
    </r>
  </si>
  <si>
    <t>22.09.2025</t>
  </si>
  <si>
    <t>THIRUVANANTHAPURAM</t>
  </si>
  <si>
    <r>
      <t>PB-2025/26-082</t>
    </r>
    <r>
      <rPr>
        <sz val="11"/>
        <color theme="1"/>
        <rFont val="Calibri"/>
        <family val="2"/>
        <scheme val="minor"/>
      </rPr>
      <t/>
    </r>
  </si>
  <si>
    <r>
      <t>PB-2025/26-083</t>
    </r>
    <r>
      <rPr>
        <sz val="11"/>
        <color theme="1"/>
        <rFont val="Calibri"/>
        <family val="2"/>
        <scheme val="minor"/>
      </rPr>
      <t/>
    </r>
  </si>
  <si>
    <t>23.09.2025</t>
  </si>
  <si>
    <t>INDORE</t>
  </si>
  <si>
    <r>
      <t>PB-2025/26-084</t>
    </r>
    <r>
      <rPr>
        <sz val="11"/>
        <color theme="1"/>
        <rFont val="Calibri"/>
        <family val="2"/>
        <scheme val="minor"/>
      </rPr>
      <t/>
    </r>
  </si>
  <si>
    <t>CHAKAN</t>
  </si>
  <si>
    <t>BHOPAL</t>
  </si>
  <si>
    <t>DUPLICAT TRIP</t>
  </si>
  <si>
    <r>
      <t>PB-2025/26-085</t>
    </r>
    <r>
      <rPr>
        <sz val="11"/>
        <color theme="1"/>
        <rFont val="Calibri"/>
        <family val="2"/>
        <scheme val="minor"/>
      </rPr>
      <t/>
    </r>
  </si>
  <si>
    <t>24.09.2025</t>
  </si>
  <si>
    <t>UNNAO</t>
  </si>
  <si>
    <r>
      <t>PB-2025/26-086</t>
    </r>
    <r>
      <rPr>
        <sz val="11"/>
        <color theme="1"/>
        <rFont val="Calibri"/>
        <family val="2"/>
        <scheme val="minor"/>
      </rPr>
      <t/>
    </r>
  </si>
  <si>
    <r>
      <t>PB-2025/26-087</t>
    </r>
    <r>
      <rPr>
        <sz val="11"/>
        <color theme="1"/>
        <rFont val="Calibri"/>
        <family val="2"/>
        <scheme val="minor"/>
      </rPr>
      <t/>
    </r>
  </si>
  <si>
    <t>27.09.2025</t>
  </si>
  <si>
    <t>BHATINDA</t>
  </si>
  <si>
    <r>
      <t>PB-2025/26-088</t>
    </r>
    <r>
      <rPr>
        <sz val="11"/>
        <color theme="1"/>
        <rFont val="Calibri"/>
        <family val="2"/>
        <scheme val="minor"/>
      </rPr>
      <t/>
    </r>
  </si>
  <si>
    <r>
      <t>PB-2025/26-089</t>
    </r>
    <r>
      <rPr>
        <sz val="11"/>
        <color theme="1"/>
        <rFont val="Calibri"/>
        <family val="2"/>
        <scheme val="minor"/>
      </rPr>
      <t/>
    </r>
  </si>
  <si>
    <t>RATLAM</t>
  </si>
  <si>
    <r>
      <t>PB-2025/26-090</t>
    </r>
    <r>
      <rPr>
        <sz val="11"/>
        <color theme="1"/>
        <rFont val="Calibri"/>
        <family val="2"/>
        <scheme val="minor"/>
      </rPr>
      <t/>
    </r>
  </si>
  <si>
    <r>
      <t>PB-2025/26-091</t>
    </r>
    <r>
      <rPr>
        <sz val="11"/>
        <color theme="1"/>
        <rFont val="Calibri"/>
        <family val="2"/>
        <scheme val="minor"/>
      </rPr>
      <t/>
    </r>
  </si>
  <si>
    <t>JAIPUR</t>
  </si>
  <si>
    <r>
      <t>PB-2025/26-092</t>
    </r>
    <r>
      <rPr>
        <sz val="11"/>
        <color theme="1"/>
        <rFont val="Calibri"/>
        <family val="2"/>
        <scheme val="minor"/>
      </rPr>
      <t/>
    </r>
  </si>
  <si>
    <t>MERCEDES</t>
  </si>
  <si>
    <t>PENDING</t>
  </si>
  <si>
    <r>
      <t>PB-2025/26-093</t>
    </r>
    <r>
      <rPr>
        <sz val="11"/>
        <color theme="1"/>
        <rFont val="Calibri"/>
        <family val="2"/>
        <scheme val="minor"/>
      </rPr>
      <t/>
    </r>
  </si>
  <si>
    <t>28.09.2025</t>
  </si>
  <si>
    <r>
      <t>PB-2025/26-094</t>
    </r>
    <r>
      <rPr>
        <sz val="11"/>
        <color theme="1"/>
        <rFont val="Calibri"/>
        <family val="2"/>
        <scheme val="minor"/>
      </rPr>
      <t/>
    </r>
  </si>
  <si>
    <t>SANAND</t>
  </si>
  <si>
    <r>
      <t>PB-2025/26-095</t>
    </r>
    <r>
      <rPr>
        <sz val="11"/>
        <color theme="1"/>
        <rFont val="Calibri"/>
        <family val="2"/>
        <scheme val="minor"/>
      </rPr>
      <t/>
    </r>
  </si>
  <si>
    <r>
      <t>PB-2025/26-096</t>
    </r>
    <r>
      <rPr>
        <sz val="11"/>
        <color theme="1"/>
        <rFont val="Calibri"/>
        <family val="2"/>
        <scheme val="minor"/>
      </rPr>
      <t/>
    </r>
  </si>
  <si>
    <r>
      <t>PB-2025/26-097</t>
    </r>
    <r>
      <rPr>
        <sz val="11"/>
        <color theme="1"/>
        <rFont val="Calibri"/>
        <family val="2"/>
        <scheme val="minor"/>
      </rPr>
      <t/>
    </r>
  </si>
  <si>
    <t>29.09.2025</t>
  </si>
  <si>
    <r>
      <t>PB-2025/26-098</t>
    </r>
    <r>
      <rPr>
        <sz val="11"/>
        <color theme="1"/>
        <rFont val="Calibri"/>
        <family val="2"/>
        <scheme val="minor"/>
      </rPr>
      <t/>
    </r>
  </si>
  <si>
    <t>30.05.2025</t>
  </si>
  <si>
    <r>
      <t>PB-2025/26-099</t>
    </r>
    <r>
      <rPr>
        <sz val="11"/>
        <color theme="1"/>
        <rFont val="Calibri"/>
        <family val="2"/>
        <scheme val="minor"/>
      </rPr>
      <t/>
    </r>
  </si>
  <si>
    <r>
      <t>PB-2025/26-100</t>
    </r>
    <r>
      <rPr>
        <sz val="11"/>
        <color theme="1"/>
        <rFont val="Calibri"/>
        <family val="2"/>
        <scheme val="minor"/>
      </rPr>
      <t/>
    </r>
  </si>
  <si>
    <t>JAMMU</t>
  </si>
  <si>
    <r>
      <t>PB-2025/26-101</t>
    </r>
    <r>
      <rPr>
        <sz val="11"/>
        <color theme="1"/>
        <rFont val="Calibri"/>
        <family val="2"/>
        <scheme val="minor"/>
      </rPr>
      <t/>
    </r>
  </si>
  <si>
    <t>30.09.2025</t>
  </si>
  <si>
    <r>
      <t>PB-2025/26-102</t>
    </r>
    <r>
      <rPr>
        <sz val="11"/>
        <color theme="1"/>
        <rFont val="Calibri"/>
        <family val="2"/>
        <scheme val="minor"/>
      </rPr>
      <t/>
    </r>
  </si>
  <si>
    <t>01.10.2025</t>
  </si>
  <si>
    <t>MUNDRA</t>
  </si>
  <si>
    <r>
      <t>PB-2025/26-103</t>
    </r>
    <r>
      <rPr>
        <sz val="11"/>
        <color theme="1"/>
        <rFont val="Calibri"/>
        <family val="2"/>
        <scheme val="minor"/>
      </rPr>
      <t/>
    </r>
  </si>
  <si>
    <r>
      <t>PB-2025/26-104</t>
    </r>
    <r>
      <rPr>
        <sz val="11"/>
        <color theme="1"/>
        <rFont val="Calibri"/>
        <family val="2"/>
        <scheme val="minor"/>
      </rPr>
      <t/>
    </r>
  </si>
  <si>
    <r>
      <t>PB-2025/26-105</t>
    </r>
    <r>
      <rPr>
        <sz val="11"/>
        <color theme="1"/>
        <rFont val="Calibri"/>
        <family val="2"/>
        <scheme val="minor"/>
      </rPr>
      <t/>
    </r>
  </si>
  <si>
    <r>
      <t>PB-2025/26-106</t>
    </r>
    <r>
      <rPr>
        <sz val="11"/>
        <color theme="1"/>
        <rFont val="Calibri"/>
        <family val="2"/>
        <scheme val="minor"/>
      </rPr>
      <t/>
    </r>
  </si>
  <si>
    <r>
      <t>PB-2025/26-107</t>
    </r>
    <r>
      <rPr>
        <sz val="11"/>
        <color theme="1"/>
        <rFont val="Calibri"/>
        <family val="2"/>
        <scheme val="minor"/>
      </rPr>
      <t/>
    </r>
  </si>
  <si>
    <t>02.10.2025</t>
  </si>
  <si>
    <t>MYSOR</t>
  </si>
  <si>
    <r>
      <t>PB-2025/26-108</t>
    </r>
    <r>
      <rPr>
        <sz val="11"/>
        <color theme="1"/>
        <rFont val="Calibri"/>
        <family val="2"/>
        <scheme val="minor"/>
      </rPr>
      <t/>
    </r>
  </si>
  <si>
    <r>
      <t>PB-2025/26-109</t>
    </r>
    <r>
      <rPr>
        <sz val="11"/>
        <color theme="1"/>
        <rFont val="Calibri"/>
        <family val="2"/>
        <scheme val="minor"/>
      </rPr>
      <t/>
    </r>
  </si>
  <si>
    <t>03.10.2025</t>
  </si>
  <si>
    <t>TUMKUR</t>
  </si>
  <si>
    <r>
      <t>PB-2025/26-110</t>
    </r>
    <r>
      <rPr>
        <sz val="11"/>
        <color theme="1"/>
        <rFont val="Calibri"/>
        <family val="2"/>
        <scheme val="minor"/>
      </rPr>
      <t/>
    </r>
  </si>
  <si>
    <r>
      <t>PB-2025/26-111</t>
    </r>
    <r>
      <rPr>
        <sz val="11"/>
        <color theme="1"/>
        <rFont val="Calibri"/>
        <family val="2"/>
        <scheme val="minor"/>
      </rPr>
      <t/>
    </r>
  </si>
  <si>
    <t>KANPUR</t>
  </si>
  <si>
    <r>
      <t>PB-2025/26-112</t>
    </r>
    <r>
      <rPr>
        <sz val="11"/>
        <color theme="1"/>
        <rFont val="Calibri"/>
        <family val="2"/>
        <scheme val="minor"/>
      </rPr>
      <t/>
    </r>
  </si>
  <si>
    <t>04.10.2025</t>
  </si>
  <si>
    <t>KOTTAYAM</t>
  </si>
  <si>
    <r>
      <t>PB-2025/26-113</t>
    </r>
    <r>
      <rPr>
        <sz val="11"/>
        <color theme="1"/>
        <rFont val="Calibri"/>
        <family val="2"/>
        <scheme val="minor"/>
      </rPr>
      <t/>
    </r>
  </si>
  <si>
    <r>
      <t>PB-2025/26-114</t>
    </r>
    <r>
      <rPr>
        <sz val="11"/>
        <color theme="1"/>
        <rFont val="Calibri"/>
        <family val="2"/>
        <scheme val="minor"/>
      </rPr>
      <t/>
    </r>
  </si>
  <si>
    <r>
      <t>PB-2025/26-115</t>
    </r>
    <r>
      <rPr>
        <sz val="11"/>
        <color theme="1"/>
        <rFont val="Calibri"/>
        <family val="2"/>
        <scheme val="minor"/>
      </rPr>
      <t/>
    </r>
  </si>
  <si>
    <t>VAPI</t>
  </si>
  <si>
    <r>
      <t>PB-2025/26-116</t>
    </r>
    <r>
      <rPr>
        <sz val="11"/>
        <color theme="1"/>
        <rFont val="Calibri"/>
        <family val="2"/>
        <scheme val="minor"/>
      </rPr>
      <t/>
    </r>
  </si>
  <si>
    <t>JHANSI</t>
  </si>
  <si>
    <r>
      <t>PB-2025/26-117</t>
    </r>
    <r>
      <rPr>
        <sz val="11"/>
        <color theme="1"/>
        <rFont val="Calibri"/>
        <family val="2"/>
        <scheme val="minor"/>
      </rPr>
      <t/>
    </r>
  </si>
  <si>
    <r>
      <t>PB-2025/26-118</t>
    </r>
    <r>
      <rPr>
        <sz val="11"/>
        <color theme="1"/>
        <rFont val="Calibri"/>
        <family val="2"/>
        <scheme val="minor"/>
      </rPr>
      <t/>
    </r>
  </si>
  <si>
    <t>06.10.2025</t>
  </si>
  <si>
    <r>
      <t>PB-2025/26-119</t>
    </r>
    <r>
      <rPr>
        <sz val="11"/>
        <color theme="1"/>
        <rFont val="Calibri"/>
        <family val="2"/>
        <scheme val="minor"/>
      </rPr>
      <t/>
    </r>
  </si>
  <si>
    <r>
      <t>PB-2025/26-120</t>
    </r>
    <r>
      <rPr>
        <sz val="11"/>
        <color theme="1"/>
        <rFont val="Calibri"/>
        <family val="2"/>
        <scheme val="minor"/>
      </rPr>
      <t/>
    </r>
  </si>
  <si>
    <t>BEED</t>
  </si>
  <si>
    <r>
      <t>PB-2025/26-121</t>
    </r>
    <r>
      <rPr>
        <sz val="11"/>
        <color theme="1"/>
        <rFont val="Calibri"/>
        <family val="2"/>
        <scheme val="minor"/>
      </rPr>
      <t/>
    </r>
  </si>
  <si>
    <t>TIRUPATI</t>
  </si>
  <si>
    <r>
      <t>PB-2025/26-122</t>
    </r>
    <r>
      <rPr>
        <sz val="11"/>
        <color theme="1"/>
        <rFont val="Calibri"/>
        <family val="2"/>
        <scheme val="minor"/>
      </rPr>
      <t/>
    </r>
  </si>
  <si>
    <t>Chhatarpur</t>
  </si>
  <si>
    <r>
      <t>PB-2025/26-123</t>
    </r>
    <r>
      <rPr>
        <sz val="11"/>
        <color theme="1"/>
        <rFont val="Calibri"/>
        <family val="2"/>
        <scheme val="minor"/>
      </rPr>
      <t/>
    </r>
  </si>
  <si>
    <t>07.10.2025</t>
  </si>
  <si>
    <t>JHUNJUNU</t>
  </si>
  <si>
    <r>
      <t>PB-2025/26-124</t>
    </r>
    <r>
      <rPr>
        <sz val="11"/>
        <color theme="1"/>
        <rFont val="Calibri"/>
        <family val="2"/>
        <scheme val="minor"/>
      </rPr>
      <t/>
    </r>
  </si>
  <si>
    <r>
      <t>PB-2025/26-125</t>
    </r>
    <r>
      <rPr>
        <sz val="11"/>
        <color theme="1"/>
        <rFont val="Calibri"/>
        <family val="2"/>
        <scheme val="minor"/>
      </rPr>
      <t/>
    </r>
  </si>
  <si>
    <r>
      <t>PB-2025/26-126</t>
    </r>
    <r>
      <rPr>
        <sz val="11"/>
        <color theme="1"/>
        <rFont val="Calibri"/>
        <family val="2"/>
        <scheme val="minor"/>
      </rPr>
      <t/>
    </r>
  </si>
  <si>
    <r>
      <t>PB-2025/26-127</t>
    </r>
    <r>
      <rPr>
        <sz val="11"/>
        <color theme="1"/>
        <rFont val="Calibri"/>
        <family val="2"/>
        <scheme val="minor"/>
      </rPr>
      <t/>
    </r>
  </si>
  <si>
    <t>08.10.2025</t>
  </si>
  <si>
    <t>MORBI</t>
  </si>
  <si>
    <t>PB-2025/26-128</t>
  </si>
  <si>
    <t>10.10.2025</t>
  </si>
  <si>
    <t>NASHIK</t>
  </si>
  <si>
    <t>RAJKOT + JUNAGARH</t>
  </si>
  <si>
    <r>
      <t>PB-2025/26-129</t>
    </r>
    <r>
      <rPr>
        <sz val="11"/>
        <color theme="1"/>
        <rFont val="Calibri"/>
        <family val="2"/>
        <scheme val="minor"/>
      </rPr>
      <t/>
    </r>
  </si>
  <si>
    <r>
      <t>PB-2025/26-130</t>
    </r>
    <r>
      <rPr>
        <sz val="11"/>
        <color theme="1"/>
        <rFont val="Calibri"/>
        <family val="2"/>
        <scheme val="minor"/>
      </rPr>
      <t/>
    </r>
  </si>
  <si>
    <t>AHMEDABAD + MEHSANA</t>
  </si>
  <si>
    <r>
      <t>PB-2025/26-131</t>
    </r>
    <r>
      <rPr>
        <sz val="11"/>
        <color theme="1"/>
        <rFont val="Calibri"/>
        <family val="2"/>
        <scheme val="minor"/>
      </rPr>
      <t/>
    </r>
  </si>
  <si>
    <t>INDORI</t>
  </si>
  <si>
    <r>
      <t>PB-2025/26-132</t>
    </r>
    <r>
      <rPr>
        <sz val="11"/>
        <color theme="1"/>
        <rFont val="Calibri"/>
        <family val="2"/>
        <scheme val="minor"/>
      </rPr>
      <t/>
    </r>
  </si>
  <si>
    <r>
      <t>PB-2025/26-133</t>
    </r>
    <r>
      <rPr>
        <sz val="11"/>
        <color theme="1"/>
        <rFont val="Calibri"/>
        <family val="2"/>
        <scheme val="minor"/>
      </rPr>
      <t/>
    </r>
  </si>
  <si>
    <t>JALGAON</t>
  </si>
  <si>
    <r>
      <t>PB-2025/26-134</t>
    </r>
    <r>
      <rPr>
        <sz val="11"/>
        <color theme="1"/>
        <rFont val="Calibri"/>
        <family val="2"/>
        <scheme val="minor"/>
      </rPr>
      <t/>
    </r>
  </si>
  <si>
    <r>
      <t>PB-2025/26-135</t>
    </r>
    <r>
      <rPr>
        <sz val="11"/>
        <color theme="1"/>
        <rFont val="Calibri"/>
        <family val="2"/>
        <scheme val="minor"/>
      </rPr>
      <t/>
    </r>
  </si>
  <si>
    <r>
      <t>PB-2025/26-136</t>
    </r>
    <r>
      <rPr>
        <sz val="11"/>
        <color theme="1"/>
        <rFont val="Calibri"/>
        <family val="2"/>
        <scheme val="minor"/>
      </rPr>
      <t/>
    </r>
  </si>
  <si>
    <t>11.10.2025</t>
  </si>
  <si>
    <t>CHITTORGARH</t>
  </si>
  <si>
    <r>
      <t>PB-2025/26-137</t>
    </r>
    <r>
      <rPr>
        <sz val="11"/>
        <color theme="1"/>
        <rFont val="Calibri"/>
        <family val="2"/>
        <scheme val="minor"/>
      </rPr>
      <t/>
    </r>
  </si>
  <si>
    <t>12.10.2025</t>
  </si>
  <si>
    <t>BHILWADA</t>
  </si>
  <si>
    <r>
      <t>PB-2025/26-138</t>
    </r>
    <r>
      <rPr>
        <sz val="11"/>
        <color theme="1"/>
        <rFont val="Calibri"/>
        <family val="2"/>
        <scheme val="minor"/>
      </rPr>
      <t/>
    </r>
  </si>
  <si>
    <r>
      <t>PB-2025/26-139</t>
    </r>
    <r>
      <rPr>
        <sz val="11"/>
        <color theme="1"/>
        <rFont val="Calibri"/>
        <family val="2"/>
        <scheme val="minor"/>
      </rPr>
      <t/>
    </r>
  </si>
  <si>
    <t>13.10.2025</t>
  </si>
  <si>
    <t>BHILWARA</t>
  </si>
  <si>
    <r>
      <t>PB-2025/26-140</t>
    </r>
    <r>
      <rPr>
        <sz val="11"/>
        <color theme="1"/>
        <rFont val="Calibri"/>
        <family val="2"/>
        <scheme val="minor"/>
      </rPr>
      <t/>
    </r>
  </si>
  <si>
    <r>
      <t>PB-2025/26-141</t>
    </r>
    <r>
      <rPr>
        <sz val="11"/>
        <color theme="1"/>
        <rFont val="Calibri"/>
        <family val="2"/>
        <scheme val="minor"/>
      </rPr>
      <t/>
    </r>
  </si>
  <si>
    <t>CHHITORARH</t>
  </si>
  <si>
    <r>
      <t>PB-2025/26-142</t>
    </r>
    <r>
      <rPr>
        <sz val="11"/>
        <color theme="1"/>
        <rFont val="Calibri"/>
        <family val="2"/>
        <scheme val="minor"/>
      </rPr>
      <t/>
    </r>
  </si>
  <si>
    <r>
      <t>PB-2025/26-143</t>
    </r>
    <r>
      <rPr>
        <sz val="11"/>
        <color theme="1"/>
        <rFont val="Calibri"/>
        <family val="2"/>
        <scheme val="minor"/>
      </rPr>
      <t/>
    </r>
  </si>
  <si>
    <r>
      <t>PB-2025/26-144</t>
    </r>
    <r>
      <rPr>
        <sz val="11"/>
        <color theme="1"/>
        <rFont val="Calibri"/>
        <family val="2"/>
        <scheme val="minor"/>
      </rPr>
      <t/>
    </r>
  </si>
  <si>
    <t>14.10.2025</t>
  </si>
  <si>
    <t>CHINDWADA</t>
  </si>
  <si>
    <r>
      <t>PB-2025/26-145</t>
    </r>
    <r>
      <rPr>
        <sz val="11"/>
        <color theme="1"/>
        <rFont val="Calibri"/>
        <family val="2"/>
        <scheme val="minor"/>
      </rPr>
      <t/>
    </r>
  </si>
  <si>
    <t>INDORI + DEWAS</t>
  </si>
  <si>
    <r>
      <t>PB-2025/26-146</t>
    </r>
    <r>
      <rPr>
        <sz val="11"/>
        <color theme="1"/>
        <rFont val="Calibri"/>
        <family val="2"/>
        <scheme val="minor"/>
      </rPr>
      <t/>
    </r>
  </si>
  <si>
    <t>SOLAPUR</t>
  </si>
  <si>
    <r>
      <t>PB-2025/26-147</t>
    </r>
    <r>
      <rPr>
        <sz val="11"/>
        <color theme="1"/>
        <rFont val="Calibri"/>
        <family val="2"/>
        <scheme val="minor"/>
      </rPr>
      <t/>
    </r>
  </si>
  <si>
    <t>NAVSARI</t>
  </si>
  <si>
    <r>
      <t>PB-2025/26-148</t>
    </r>
    <r>
      <rPr>
        <sz val="11"/>
        <color theme="1"/>
        <rFont val="Calibri"/>
        <family val="2"/>
        <scheme val="minor"/>
      </rPr>
      <t/>
    </r>
  </si>
  <si>
    <r>
      <t>PB-2025/26-149</t>
    </r>
    <r>
      <rPr>
        <sz val="11"/>
        <color theme="1"/>
        <rFont val="Calibri"/>
        <family val="2"/>
        <scheme val="minor"/>
      </rPr>
      <t/>
    </r>
  </si>
  <si>
    <r>
      <t>PB-2025/26-150</t>
    </r>
    <r>
      <rPr>
        <sz val="11"/>
        <color theme="1"/>
        <rFont val="Calibri"/>
        <family val="2"/>
        <scheme val="minor"/>
      </rPr>
      <t/>
    </r>
  </si>
  <si>
    <t>15.10.2025</t>
  </si>
  <si>
    <r>
      <t>PB-2025/26-151</t>
    </r>
    <r>
      <rPr>
        <sz val="11"/>
        <color theme="1"/>
        <rFont val="Calibri"/>
        <family val="2"/>
        <scheme val="minor"/>
      </rPr>
      <t/>
    </r>
  </si>
  <si>
    <r>
      <t>PB-2025/26-152</t>
    </r>
    <r>
      <rPr>
        <sz val="11"/>
        <color theme="1"/>
        <rFont val="Calibri"/>
        <family val="2"/>
        <scheme val="minor"/>
      </rPr>
      <t/>
    </r>
  </si>
  <si>
    <r>
      <t>PB-2025/26-153</t>
    </r>
    <r>
      <rPr>
        <sz val="11"/>
        <color theme="1"/>
        <rFont val="Calibri"/>
        <family val="2"/>
        <scheme val="minor"/>
      </rPr>
      <t/>
    </r>
  </si>
  <si>
    <t>AHMEDNAGAR</t>
  </si>
  <si>
    <r>
      <t>PB-2025/26-154</t>
    </r>
    <r>
      <rPr>
        <sz val="11"/>
        <color theme="1"/>
        <rFont val="Calibri"/>
        <family val="2"/>
        <scheme val="minor"/>
      </rPr>
      <t/>
    </r>
  </si>
  <si>
    <r>
      <t>PB-2025/26-155</t>
    </r>
    <r>
      <rPr>
        <sz val="11"/>
        <color theme="1"/>
        <rFont val="Calibri"/>
        <family val="2"/>
        <scheme val="minor"/>
      </rPr>
      <t/>
    </r>
  </si>
  <si>
    <t>AJMER</t>
  </si>
  <si>
    <r>
      <t>PB-2025/26-156</t>
    </r>
    <r>
      <rPr>
        <sz val="11"/>
        <color theme="1"/>
        <rFont val="Calibri"/>
        <family val="2"/>
        <scheme val="minor"/>
      </rPr>
      <t/>
    </r>
  </si>
  <si>
    <r>
      <t>PB-2025/26-157</t>
    </r>
    <r>
      <rPr>
        <sz val="11"/>
        <color theme="1"/>
        <rFont val="Calibri"/>
        <family val="2"/>
        <scheme val="minor"/>
      </rPr>
      <t/>
    </r>
  </si>
  <si>
    <r>
      <t>PB-2025/26-158</t>
    </r>
    <r>
      <rPr>
        <sz val="11"/>
        <color theme="1"/>
        <rFont val="Calibri"/>
        <family val="2"/>
        <scheme val="minor"/>
      </rPr>
      <t/>
    </r>
  </si>
  <si>
    <r>
      <t>PB-2025/26-159</t>
    </r>
    <r>
      <rPr>
        <sz val="11"/>
        <color theme="1"/>
        <rFont val="Calibri"/>
        <family val="2"/>
        <scheme val="minor"/>
      </rPr>
      <t/>
    </r>
  </si>
  <si>
    <r>
      <t>PB-2025/26-160</t>
    </r>
    <r>
      <rPr>
        <sz val="11"/>
        <color theme="1"/>
        <rFont val="Calibri"/>
        <family val="2"/>
        <scheme val="minor"/>
      </rPr>
      <t/>
    </r>
  </si>
  <si>
    <t>17.10.2025</t>
  </si>
  <si>
    <r>
      <t>PB-2025/26-161</t>
    </r>
    <r>
      <rPr>
        <sz val="11"/>
        <color theme="1"/>
        <rFont val="Calibri"/>
        <family val="2"/>
        <scheme val="minor"/>
      </rPr>
      <t/>
    </r>
  </si>
  <si>
    <r>
      <t>PB-2025/26-162</t>
    </r>
    <r>
      <rPr>
        <sz val="11"/>
        <color theme="1"/>
        <rFont val="Calibri"/>
        <family val="2"/>
        <scheme val="minor"/>
      </rPr>
      <t/>
    </r>
  </si>
  <si>
    <t>BHUNESWAR</t>
  </si>
  <si>
    <r>
      <t>PB-2025/26-163</t>
    </r>
    <r>
      <rPr>
        <sz val="11"/>
        <color theme="1"/>
        <rFont val="Calibri"/>
        <family val="2"/>
        <scheme val="minor"/>
      </rPr>
      <t/>
    </r>
  </si>
  <si>
    <t>18.10.2025</t>
  </si>
  <si>
    <t>CHANDERPUR</t>
  </si>
  <si>
    <r>
      <t>PB-2025/26-164</t>
    </r>
    <r>
      <rPr>
        <sz val="11"/>
        <color theme="1"/>
        <rFont val="Calibri"/>
        <family val="2"/>
        <scheme val="minor"/>
      </rPr>
      <t/>
    </r>
  </si>
  <si>
    <t>KANCHIPURAM</t>
  </si>
  <si>
    <r>
      <t>PB-2025/26-165</t>
    </r>
    <r>
      <rPr>
        <sz val="11"/>
        <color theme="1"/>
        <rFont val="Calibri"/>
        <family val="2"/>
        <scheme val="minor"/>
      </rPr>
      <t/>
    </r>
  </si>
  <si>
    <r>
      <t>PB-2025/26-166</t>
    </r>
    <r>
      <rPr>
        <sz val="11"/>
        <color theme="1"/>
        <rFont val="Calibri"/>
        <family val="2"/>
        <scheme val="minor"/>
      </rPr>
      <t/>
    </r>
  </si>
  <si>
    <r>
      <t>PB-2025/26-167</t>
    </r>
    <r>
      <rPr>
        <sz val="11"/>
        <color theme="1"/>
        <rFont val="Calibri"/>
        <family val="2"/>
        <scheme val="minor"/>
      </rPr>
      <t/>
    </r>
  </si>
  <si>
    <t>SELAM</t>
  </si>
  <si>
    <r>
      <t>PB-2025/26-168</t>
    </r>
    <r>
      <rPr>
        <sz val="11"/>
        <color theme="1"/>
        <rFont val="Calibri"/>
        <family val="2"/>
        <scheme val="minor"/>
      </rPr>
      <t/>
    </r>
  </si>
  <si>
    <t>19.10.2025</t>
  </si>
  <si>
    <r>
      <t>PB-2025/26-169</t>
    </r>
    <r>
      <rPr>
        <sz val="11"/>
        <color theme="1"/>
        <rFont val="Calibri"/>
        <family val="2"/>
        <scheme val="minor"/>
      </rPr>
      <t/>
    </r>
  </si>
  <si>
    <r>
      <t>PB-2025/26-170</t>
    </r>
    <r>
      <rPr>
        <sz val="11"/>
        <color theme="1"/>
        <rFont val="Calibri"/>
        <family val="2"/>
        <scheme val="minor"/>
      </rPr>
      <t/>
    </r>
  </si>
  <si>
    <r>
      <t>PB-2025/26-171</t>
    </r>
    <r>
      <rPr>
        <sz val="11"/>
        <color theme="1"/>
        <rFont val="Calibri"/>
        <family val="2"/>
        <scheme val="minor"/>
      </rPr>
      <t/>
    </r>
  </si>
  <si>
    <t>Visakhapatnam+ Rajamundry</t>
  </si>
  <si>
    <r>
      <t>PB-2025/26-172</t>
    </r>
    <r>
      <rPr>
        <sz val="11"/>
        <color theme="1"/>
        <rFont val="Calibri"/>
        <family val="2"/>
        <scheme val="minor"/>
      </rPr>
      <t/>
    </r>
  </si>
  <si>
    <t>22.10.2025</t>
  </si>
  <si>
    <t xml:space="preserve">AZAMGARH </t>
  </si>
  <si>
    <r>
      <t>PB-2025/26-173</t>
    </r>
    <r>
      <rPr>
        <sz val="11"/>
        <color theme="1"/>
        <rFont val="Calibri"/>
        <family val="2"/>
        <scheme val="minor"/>
      </rPr>
      <t/>
    </r>
  </si>
  <si>
    <t>24.10.2025</t>
  </si>
  <si>
    <r>
      <t>PB-2025/26-174</t>
    </r>
    <r>
      <rPr>
        <sz val="11"/>
        <color theme="1"/>
        <rFont val="Calibri"/>
        <family val="2"/>
        <scheme val="minor"/>
      </rPr>
      <t/>
    </r>
  </si>
  <si>
    <t>HUBLI</t>
  </si>
  <si>
    <r>
      <t>PB-2025/26-175</t>
    </r>
    <r>
      <rPr>
        <sz val="11"/>
        <color theme="1"/>
        <rFont val="Calibri"/>
        <family val="2"/>
        <scheme val="minor"/>
      </rPr>
      <t/>
    </r>
  </si>
  <si>
    <r>
      <t>PB-2025/26-176</t>
    </r>
    <r>
      <rPr>
        <sz val="11"/>
        <color theme="1"/>
        <rFont val="Calibri"/>
        <family val="2"/>
        <scheme val="minor"/>
      </rPr>
      <t/>
    </r>
  </si>
  <si>
    <r>
      <t>PB-2025/26-177</t>
    </r>
    <r>
      <rPr>
        <sz val="11"/>
        <color theme="1"/>
        <rFont val="Calibri"/>
        <family val="2"/>
        <scheme val="minor"/>
      </rPr>
      <t/>
    </r>
  </si>
  <si>
    <r>
      <t>PB-2025/26-178</t>
    </r>
    <r>
      <rPr>
        <sz val="11"/>
        <color theme="1"/>
        <rFont val="Calibri"/>
        <family val="2"/>
        <scheme val="minor"/>
      </rPr>
      <t/>
    </r>
  </si>
  <si>
    <r>
      <t>PB-2025/26-179</t>
    </r>
    <r>
      <rPr>
        <sz val="11"/>
        <color theme="1"/>
        <rFont val="Calibri"/>
        <family val="2"/>
        <scheme val="minor"/>
      </rPr>
      <t/>
    </r>
  </si>
  <si>
    <r>
      <t>PB-2025/26-180</t>
    </r>
    <r>
      <rPr>
        <sz val="11"/>
        <color theme="1"/>
        <rFont val="Calibri"/>
        <family val="2"/>
        <scheme val="minor"/>
      </rPr>
      <t/>
    </r>
  </si>
  <si>
    <t>26.10.2025</t>
  </si>
  <si>
    <r>
      <t>PB-2025/26-181</t>
    </r>
    <r>
      <rPr>
        <sz val="11"/>
        <color theme="1"/>
        <rFont val="Calibri"/>
        <family val="2"/>
        <scheme val="minor"/>
      </rPr>
      <t/>
    </r>
  </si>
  <si>
    <t>BIJAPUR</t>
  </si>
  <si>
    <r>
      <t>PB-2025/26-182</t>
    </r>
    <r>
      <rPr>
        <sz val="11"/>
        <color theme="1"/>
        <rFont val="Calibri"/>
        <family val="2"/>
        <scheme val="minor"/>
      </rPr>
      <t/>
    </r>
  </si>
  <si>
    <r>
      <t>PB-2025/26-183</t>
    </r>
    <r>
      <rPr>
        <sz val="11"/>
        <color theme="1"/>
        <rFont val="Calibri"/>
        <family val="2"/>
        <scheme val="minor"/>
      </rPr>
      <t/>
    </r>
  </si>
  <si>
    <r>
      <t>PB-2025/26-184</t>
    </r>
    <r>
      <rPr>
        <sz val="11"/>
        <color theme="1"/>
        <rFont val="Calibri"/>
        <family val="2"/>
        <scheme val="minor"/>
      </rPr>
      <t/>
    </r>
  </si>
  <si>
    <t>28.10.2025</t>
  </si>
  <si>
    <r>
      <t>PB-2025/26-185</t>
    </r>
    <r>
      <rPr>
        <sz val="11"/>
        <color theme="1"/>
        <rFont val="Calibri"/>
        <family val="2"/>
        <scheme val="minor"/>
      </rPr>
      <t/>
    </r>
  </si>
  <si>
    <t>30.10.2025</t>
  </si>
  <si>
    <t>SANGRUR</t>
  </si>
  <si>
    <r>
      <t>PB-2025/26-186</t>
    </r>
    <r>
      <rPr>
        <sz val="11"/>
        <color theme="1"/>
        <rFont val="Calibri"/>
        <family val="2"/>
        <scheme val="minor"/>
      </rPr>
      <t/>
    </r>
  </si>
  <si>
    <r>
      <t>PB-2025/26-187</t>
    </r>
    <r>
      <rPr>
        <sz val="11"/>
        <color theme="1"/>
        <rFont val="Calibri"/>
        <family val="2"/>
        <scheme val="minor"/>
      </rPr>
      <t/>
    </r>
  </si>
  <si>
    <r>
      <t>PB-2025/26-188</t>
    </r>
    <r>
      <rPr>
        <sz val="11"/>
        <color theme="1"/>
        <rFont val="Calibri"/>
        <family val="2"/>
        <scheme val="minor"/>
      </rPr>
      <t/>
    </r>
  </si>
  <si>
    <t>DEHRADUN</t>
  </si>
  <si>
    <r>
      <t>PB-2025/26-189</t>
    </r>
    <r>
      <rPr>
        <sz val="11"/>
        <color theme="1"/>
        <rFont val="Calibri"/>
        <family val="2"/>
        <scheme val="minor"/>
      </rPr>
      <t/>
    </r>
  </si>
  <si>
    <r>
      <t>PB-2025/26-190</t>
    </r>
    <r>
      <rPr>
        <sz val="11"/>
        <color theme="1"/>
        <rFont val="Calibri"/>
        <family val="2"/>
        <scheme val="minor"/>
      </rPr>
      <t/>
    </r>
  </si>
  <si>
    <r>
      <t>PB-2025/26-191</t>
    </r>
    <r>
      <rPr>
        <sz val="11"/>
        <color theme="1"/>
        <rFont val="Calibri"/>
        <family val="2"/>
        <scheme val="minor"/>
      </rPr>
      <t/>
    </r>
  </si>
  <si>
    <t>VADODRA</t>
  </si>
  <si>
    <r>
      <t>PB-2025/26-192</t>
    </r>
    <r>
      <rPr>
        <sz val="11"/>
        <color theme="1"/>
        <rFont val="Calibri"/>
        <family val="2"/>
        <scheme val="minor"/>
      </rPr>
      <t/>
    </r>
  </si>
  <si>
    <r>
      <t>PB-2025/26-193</t>
    </r>
    <r>
      <rPr>
        <sz val="11"/>
        <color theme="1"/>
        <rFont val="Calibri"/>
        <family val="2"/>
        <scheme val="minor"/>
      </rPr>
      <t/>
    </r>
  </si>
  <si>
    <r>
      <t>PB-2025/26-194</t>
    </r>
    <r>
      <rPr>
        <sz val="11"/>
        <color theme="1"/>
        <rFont val="Calibri"/>
        <family val="2"/>
        <scheme val="minor"/>
      </rPr>
      <t/>
    </r>
  </si>
  <si>
    <t>01.11.2025</t>
  </si>
  <si>
    <r>
      <t>PB-2025/26-195</t>
    </r>
    <r>
      <rPr>
        <sz val="11"/>
        <color theme="1"/>
        <rFont val="Calibri"/>
        <family val="2"/>
        <scheme val="minor"/>
      </rPr>
      <t/>
    </r>
  </si>
  <si>
    <r>
      <t>PB-2025/26-196</t>
    </r>
    <r>
      <rPr>
        <sz val="11"/>
        <color theme="1"/>
        <rFont val="Calibri"/>
        <family val="2"/>
        <scheme val="minor"/>
      </rPr>
      <t/>
    </r>
  </si>
  <si>
    <t>CUTTACK + BHUNESWAR</t>
  </si>
  <si>
    <r>
      <t>PB-2025/26-197</t>
    </r>
    <r>
      <rPr>
        <sz val="11"/>
        <color theme="1"/>
        <rFont val="Calibri"/>
        <family val="2"/>
        <scheme val="minor"/>
      </rPr>
      <t/>
    </r>
  </si>
  <si>
    <t>ERNAKULAM</t>
  </si>
  <si>
    <r>
      <t>PB-2025/26-198</t>
    </r>
    <r>
      <rPr>
        <sz val="11"/>
        <color theme="1"/>
        <rFont val="Calibri"/>
        <family val="2"/>
        <scheme val="minor"/>
      </rPr>
      <t/>
    </r>
  </si>
  <si>
    <t>03.11.2025</t>
  </si>
  <si>
    <r>
      <t>PB-2025/26-199</t>
    </r>
    <r>
      <rPr>
        <sz val="11"/>
        <color theme="1"/>
        <rFont val="Calibri"/>
        <family val="2"/>
        <scheme val="minor"/>
      </rPr>
      <t/>
    </r>
  </si>
  <si>
    <r>
      <t>PB-2025/26-200</t>
    </r>
    <r>
      <rPr>
        <sz val="11"/>
        <color theme="1"/>
        <rFont val="Calibri"/>
        <family val="2"/>
        <scheme val="minor"/>
      </rPr>
      <t/>
    </r>
  </si>
  <si>
    <r>
      <t>PB-2025/26-201</t>
    </r>
    <r>
      <rPr>
        <sz val="11"/>
        <color theme="1"/>
        <rFont val="Calibri"/>
        <family val="2"/>
        <scheme val="minor"/>
      </rPr>
      <t/>
    </r>
  </si>
  <si>
    <r>
      <t>PB-2025/26-202</t>
    </r>
    <r>
      <rPr>
        <sz val="11"/>
        <color theme="1"/>
        <rFont val="Calibri"/>
        <family val="2"/>
        <scheme val="minor"/>
      </rPr>
      <t/>
    </r>
  </si>
  <si>
    <r>
      <t>PB-2025/26-203</t>
    </r>
    <r>
      <rPr>
        <sz val="11"/>
        <color theme="1"/>
        <rFont val="Calibri"/>
        <family val="2"/>
        <scheme val="minor"/>
      </rPr>
      <t/>
    </r>
  </si>
  <si>
    <r>
      <t>PB-2025/26-204</t>
    </r>
    <r>
      <rPr>
        <sz val="11"/>
        <color theme="1"/>
        <rFont val="Calibri"/>
        <family val="2"/>
        <scheme val="minor"/>
      </rPr>
      <t/>
    </r>
  </si>
  <si>
    <r>
      <t>PB-2025/26-205</t>
    </r>
    <r>
      <rPr>
        <sz val="11"/>
        <color theme="1"/>
        <rFont val="Calibri"/>
        <family val="2"/>
        <scheme val="minor"/>
      </rPr>
      <t/>
    </r>
  </si>
  <si>
    <t>20.10.2025</t>
  </si>
  <si>
    <r>
      <t>PB-2025/26-206</t>
    </r>
    <r>
      <rPr>
        <sz val="11"/>
        <color theme="1"/>
        <rFont val="Calibri"/>
        <family val="2"/>
        <scheme val="minor"/>
      </rPr>
      <t/>
    </r>
  </si>
  <si>
    <t>07.11.2025</t>
  </si>
  <si>
    <r>
      <t>PB-2025/26-207</t>
    </r>
    <r>
      <rPr>
        <sz val="11"/>
        <color theme="1"/>
        <rFont val="Calibri"/>
        <family val="2"/>
        <scheme val="minor"/>
      </rPr>
      <t/>
    </r>
  </si>
  <si>
    <t>08.11.2025</t>
  </si>
  <si>
    <t>AMRITSAR</t>
  </si>
  <si>
    <r>
      <t>PB-2025/26-208</t>
    </r>
    <r>
      <rPr>
        <sz val="11"/>
        <color theme="1"/>
        <rFont val="Calibri"/>
        <family val="2"/>
        <scheme val="minor"/>
      </rPr>
      <t/>
    </r>
  </si>
  <si>
    <r>
      <t>PB-2025/26-209</t>
    </r>
    <r>
      <rPr>
        <sz val="11"/>
        <color theme="1"/>
        <rFont val="Calibri"/>
        <family val="2"/>
        <scheme val="minor"/>
      </rPr>
      <t/>
    </r>
  </si>
  <si>
    <r>
      <t>PB-2025/26-210</t>
    </r>
    <r>
      <rPr>
        <sz val="11"/>
        <color theme="1"/>
        <rFont val="Calibri"/>
        <family val="2"/>
        <scheme val="minor"/>
      </rPr>
      <t/>
    </r>
  </si>
  <si>
    <r>
      <t>PB-2025/26-211</t>
    </r>
    <r>
      <rPr>
        <sz val="11"/>
        <color theme="1"/>
        <rFont val="Calibri"/>
        <family val="2"/>
        <scheme val="minor"/>
      </rPr>
      <t/>
    </r>
  </si>
  <si>
    <r>
      <t>PB-2025/26-212</t>
    </r>
    <r>
      <rPr>
        <sz val="11"/>
        <color theme="1"/>
        <rFont val="Calibri"/>
        <family val="2"/>
        <scheme val="minor"/>
      </rPr>
      <t/>
    </r>
  </si>
  <si>
    <t>KANDWA</t>
  </si>
  <si>
    <r>
      <t>PB-2025/26-213</t>
    </r>
    <r>
      <rPr>
        <sz val="11"/>
        <color theme="1"/>
        <rFont val="Calibri"/>
        <family val="2"/>
        <scheme val="minor"/>
      </rPr>
      <t/>
    </r>
  </si>
  <si>
    <r>
      <t>PB-2025/26-214</t>
    </r>
    <r>
      <rPr>
        <sz val="11"/>
        <color theme="1"/>
        <rFont val="Calibri"/>
        <family val="2"/>
        <scheme val="minor"/>
      </rPr>
      <t/>
    </r>
  </si>
  <si>
    <r>
      <t>PB-2025/26-215</t>
    </r>
    <r>
      <rPr>
        <sz val="11"/>
        <color theme="1"/>
        <rFont val="Calibri"/>
        <family val="2"/>
        <scheme val="minor"/>
      </rPr>
      <t/>
    </r>
  </si>
  <si>
    <t>10.11.2025</t>
  </si>
  <si>
    <r>
      <t>PB-2025/26-216</t>
    </r>
    <r>
      <rPr>
        <sz val="11"/>
        <color theme="1"/>
        <rFont val="Calibri"/>
        <family val="2"/>
        <scheme val="minor"/>
      </rPr>
      <t/>
    </r>
  </si>
  <si>
    <r>
      <t>PB-2025/26-217</t>
    </r>
    <r>
      <rPr>
        <sz val="11"/>
        <color theme="1"/>
        <rFont val="Calibri"/>
        <family val="2"/>
        <scheme val="minor"/>
      </rPr>
      <t/>
    </r>
  </si>
  <si>
    <r>
      <t>PB-2025/26-218</t>
    </r>
    <r>
      <rPr>
        <sz val="11"/>
        <color theme="1"/>
        <rFont val="Calibri"/>
        <family val="2"/>
        <scheme val="minor"/>
      </rPr>
      <t/>
    </r>
  </si>
  <si>
    <t>11.11.2025</t>
  </si>
  <si>
    <t>LATUR + NANDED</t>
  </si>
  <si>
    <r>
      <t>PB-2025/26-219</t>
    </r>
    <r>
      <rPr>
        <sz val="11"/>
        <color theme="1"/>
        <rFont val="Calibri"/>
        <family val="2"/>
        <scheme val="minor"/>
      </rPr>
      <t/>
    </r>
  </si>
  <si>
    <t>12.11.2025</t>
  </si>
  <si>
    <r>
      <t>PB-2025/26-220</t>
    </r>
    <r>
      <rPr>
        <sz val="11"/>
        <color theme="1"/>
        <rFont val="Calibri"/>
        <family val="2"/>
        <scheme val="minor"/>
      </rPr>
      <t/>
    </r>
  </si>
  <si>
    <r>
      <t>PB-2025/26-221</t>
    </r>
    <r>
      <rPr>
        <sz val="11"/>
        <color theme="1"/>
        <rFont val="Calibri"/>
        <family val="2"/>
        <scheme val="minor"/>
      </rPr>
      <t/>
    </r>
  </si>
  <si>
    <r>
      <t>PB-2025/26-222</t>
    </r>
    <r>
      <rPr>
        <sz val="11"/>
        <color theme="1"/>
        <rFont val="Calibri"/>
        <family val="2"/>
        <scheme val="minor"/>
      </rPr>
      <t/>
    </r>
  </si>
  <si>
    <t>13.11.2025</t>
  </si>
  <si>
    <t>SAMBALPUR</t>
  </si>
  <si>
    <r>
      <t>PB-2025/26-223</t>
    </r>
    <r>
      <rPr>
        <sz val="11"/>
        <color theme="1"/>
        <rFont val="Calibri"/>
        <family val="2"/>
        <scheme val="minor"/>
      </rPr>
      <t/>
    </r>
  </si>
  <si>
    <r>
      <t>PB-2025/26-224</t>
    </r>
    <r>
      <rPr>
        <sz val="11"/>
        <color theme="1"/>
        <rFont val="Calibri"/>
        <family val="2"/>
        <scheme val="minor"/>
      </rPr>
      <t/>
    </r>
  </si>
  <si>
    <r>
      <t>PB-2025/26-225</t>
    </r>
    <r>
      <rPr>
        <sz val="11"/>
        <color theme="1"/>
        <rFont val="Calibri"/>
        <family val="2"/>
        <scheme val="minor"/>
      </rPr>
      <t/>
    </r>
  </si>
  <si>
    <r>
      <t>PB-2025/26-226</t>
    </r>
    <r>
      <rPr>
        <sz val="11"/>
        <color theme="1"/>
        <rFont val="Calibri"/>
        <family val="2"/>
        <scheme val="minor"/>
      </rPr>
      <t/>
    </r>
  </si>
  <si>
    <r>
      <t>PB-2025/26-227</t>
    </r>
    <r>
      <rPr>
        <sz val="11"/>
        <color theme="1"/>
        <rFont val="Calibri"/>
        <family val="2"/>
        <scheme val="minor"/>
      </rPr>
      <t/>
    </r>
  </si>
  <si>
    <t>14.11.2025</t>
  </si>
  <si>
    <t>BHOPAL + INDORI</t>
  </si>
  <si>
    <r>
      <t>PB-2025/26-228</t>
    </r>
    <r>
      <rPr>
        <sz val="11"/>
        <color theme="1"/>
        <rFont val="Calibri"/>
        <family val="2"/>
        <scheme val="minor"/>
      </rPr>
      <t/>
    </r>
  </si>
  <si>
    <r>
      <t>PB-2025/26-229</t>
    </r>
    <r>
      <rPr>
        <sz val="11"/>
        <color theme="1"/>
        <rFont val="Calibri"/>
        <family val="2"/>
        <scheme val="minor"/>
      </rPr>
      <t/>
    </r>
  </si>
  <si>
    <r>
      <t>PB-2025/26-230</t>
    </r>
    <r>
      <rPr>
        <sz val="11"/>
        <color theme="1"/>
        <rFont val="Calibri"/>
        <family val="2"/>
        <scheme val="minor"/>
      </rPr>
      <t/>
    </r>
  </si>
  <si>
    <r>
      <t>PB-2025/26-231</t>
    </r>
    <r>
      <rPr>
        <sz val="11"/>
        <color theme="1"/>
        <rFont val="Calibri"/>
        <family val="2"/>
        <scheme val="minor"/>
      </rPr>
      <t/>
    </r>
  </si>
  <si>
    <t>15.11.2025</t>
  </si>
  <si>
    <t>TIRUPATI + NELLORE</t>
  </si>
  <si>
    <r>
      <t>PB-2025/26-232</t>
    </r>
    <r>
      <rPr>
        <sz val="11"/>
        <color theme="1"/>
        <rFont val="Calibri"/>
        <family val="2"/>
        <scheme val="minor"/>
      </rPr>
      <t/>
    </r>
  </si>
  <si>
    <r>
      <t>PB-2025/26-233</t>
    </r>
    <r>
      <rPr>
        <sz val="11"/>
        <color theme="1"/>
        <rFont val="Calibri"/>
        <family val="2"/>
        <scheme val="minor"/>
      </rPr>
      <t/>
    </r>
  </si>
  <si>
    <r>
      <t>PB-2025/26-234</t>
    </r>
    <r>
      <rPr>
        <sz val="11"/>
        <color theme="1"/>
        <rFont val="Calibri"/>
        <family val="2"/>
        <scheme val="minor"/>
      </rPr>
      <t/>
    </r>
  </si>
  <si>
    <t>16.11.2025</t>
  </si>
  <si>
    <r>
      <t>PB-2025/26-235</t>
    </r>
    <r>
      <rPr>
        <sz val="11"/>
        <color theme="1"/>
        <rFont val="Calibri"/>
        <family val="2"/>
        <scheme val="minor"/>
      </rPr>
      <t/>
    </r>
  </si>
  <si>
    <t>17.11.2025</t>
  </si>
  <si>
    <r>
      <t>PB-2025/26-236</t>
    </r>
    <r>
      <rPr>
        <sz val="11"/>
        <color theme="1"/>
        <rFont val="Calibri"/>
        <family val="2"/>
        <scheme val="minor"/>
      </rPr>
      <t/>
    </r>
  </si>
  <si>
    <r>
      <t>PB-2025/26-237</t>
    </r>
    <r>
      <rPr>
        <sz val="11"/>
        <color theme="1"/>
        <rFont val="Calibri"/>
        <family val="2"/>
        <scheme val="minor"/>
      </rPr>
      <t/>
    </r>
  </si>
  <si>
    <t>19.11.2025</t>
  </si>
  <si>
    <t>VIJAWADA</t>
  </si>
  <si>
    <r>
      <t>PB-2025/26-238</t>
    </r>
    <r>
      <rPr>
        <sz val="11"/>
        <color theme="1"/>
        <rFont val="Calibri"/>
        <family val="2"/>
        <scheme val="minor"/>
      </rPr>
      <t/>
    </r>
  </si>
  <si>
    <r>
      <t>PB-2025/26-239</t>
    </r>
    <r>
      <rPr>
        <sz val="11"/>
        <color theme="1"/>
        <rFont val="Calibri"/>
        <family val="2"/>
        <scheme val="minor"/>
      </rPr>
      <t/>
    </r>
  </si>
  <si>
    <t>SELAM + ERODE</t>
  </si>
  <si>
    <r>
      <t>PB-2025/26-240</t>
    </r>
    <r>
      <rPr>
        <sz val="11"/>
        <color theme="1"/>
        <rFont val="Calibri"/>
        <family val="2"/>
        <scheme val="minor"/>
      </rPr>
      <t/>
    </r>
  </si>
  <si>
    <t>ERODE + COIMBATORE</t>
  </si>
  <si>
    <r>
      <t>PB-2025/26-241</t>
    </r>
    <r>
      <rPr>
        <sz val="11"/>
        <color theme="1"/>
        <rFont val="Calibri"/>
        <family val="2"/>
        <scheme val="minor"/>
      </rPr>
      <t/>
    </r>
  </si>
  <si>
    <t>20.11.2025</t>
  </si>
  <si>
    <r>
      <t>PB-2025/26-242</t>
    </r>
    <r>
      <rPr>
        <sz val="11"/>
        <color theme="1"/>
        <rFont val="Calibri"/>
        <family val="2"/>
        <scheme val="minor"/>
      </rPr>
      <t/>
    </r>
  </si>
  <si>
    <r>
      <t>PB-2025/26-243</t>
    </r>
    <r>
      <rPr>
        <sz val="11"/>
        <color theme="1"/>
        <rFont val="Calibri"/>
        <family val="2"/>
        <scheme val="minor"/>
      </rPr>
      <t/>
    </r>
  </si>
  <si>
    <r>
      <t>PB-2025/26-244</t>
    </r>
    <r>
      <rPr>
        <sz val="11"/>
        <color theme="1"/>
        <rFont val="Calibri"/>
        <family val="2"/>
        <scheme val="minor"/>
      </rPr>
      <t/>
    </r>
  </si>
  <si>
    <r>
      <t>PB-2025/26-245</t>
    </r>
    <r>
      <rPr>
        <sz val="11"/>
        <color theme="1"/>
        <rFont val="Calibri"/>
        <family val="2"/>
        <scheme val="minor"/>
      </rPr>
      <t/>
    </r>
  </si>
  <si>
    <t>PB-2025/26-246</t>
  </si>
  <si>
    <t>05.11.2025</t>
  </si>
  <si>
    <r>
      <t>PB-2025/26-247</t>
    </r>
    <r>
      <rPr>
        <sz val="11"/>
        <color theme="1"/>
        <rFont val="Calibri"/>
        <family val="2"/>
        <scheme val="minor"/>
      </rPr>
      <t/>
    </r>
  </si>
  <si>
    <t>04.11.2025</t>
  </si>
  <si>
    <r>
      <t>PB-2025/26-248</t>
    </r>
    <r>
      <rPr>
        <sz val="11"/>
        <color theme="1"/>
        <rFont val="Calibri"/>
        <family val="2"/>
        <scheme val="minor"/>
      </rPr>
      <t/>
    </r>
  </si>
  <si>
    <t>SATARA</t>
  </si>
  <si>
    <r>
      <t>PB-2025/26-249</t>
    </r>
    <r>
      <rPr>
        <sz val="11"/>
        <color theme="1"/>
        <rFont val="Calibri"/>
        <family val="2"/>
        <scheme val="minor"/>
      </rPr>
      <t/>
    </r>
  </si>
  <si>
    <t>21.11.2025</t>
  </si>
  <si>
    <t>INDORI + UJJAIN</t>
  </si>
  <si>
    <r>
      <t>PB-2025/26-250</t>
    </r>
    <r>
      <rPr>
        <sz val="11"/>
        <color theme="1"/>
        <rFont val="Calibri"/>
        <family val="2"/>
        <scheme val="minor"/>
      </rPr>
      <t/>
    </r>
  </si>
  <si>
    <t>22.11.2025</t>
  </si>
  <si>
    <r>
      <t>PB-2025/26-251</t>
    </r>
    <r>
      <rPr>
        <sz val="11"/>
        <color theme="1"/>
        <rFont val="Calibri"/>
        <family val="2"/>
        <scheme val="minor"/>
      </rPr>
      <t/>
    </r>
  </si>
  <si>
    <r>
      <t>PB-2025/26-252</t>
    </r>
    <r>
      <rPr>
        <sz val="11"/>
        <color theme="1"/>
        <rFont val="Calibri"/>
        <family val="2"/>
        <scheme val="minor"/>
      </rPr>
      <t/>
    </r>
  </si>
  <si>
    <r>
      <t>PB-2025/26-253</t>
    </r>
    <r>
      <rPr>
        <sz val="11"/>
        <color theme="1"/>
        <rFont val="Calibri"/>
        <family val="2"/>
        <scheme val="minor"/>
      </rPr>
      <t/>
    </r>
  </si>
  <si>
    <r>
      <t>PB-2025/26-254</t>
    </r>
    <r>
      <rPr>
        <sz val="11"/>
        <color theme="1"/>
        <rFont val="Calibri"/>
        <family val="2"/>
        <scheme val="minor"/>
      </rPr>
      <t/>
    </r>
  </si>
  <si>
    <t>24.11.2025</t>
  </si>
  <si>
    <r>
      <t>PB-2025/26-255</t>
    </r>
    <r>
      <rPr>
        <sz val="11"/>
        <color theme="1"/>
        <rFont val="Calibri"/>
        <family val="2"/>
        <scheme val="minor"/>
      </rPr>
      <t/>
    </r>
  </si>
  <si>
    <t>25.11.2025</t>
  </si>
  <si>
    <r>
      <t>PB-2025/26-256</t>
    </r>
    <r>
      <rPr>
        <sz val="11"/>
        <color theme="1"/>
        <rFont val="Calibri"/>
        <family val="2"/>
        <scheme val="minor"/>
      </rPr>
      <t/>
    </r>
  </si>
  <si>
    <t>GODHRA + PATAN</t>
  </si>
  <si>
    <r>
      <t>PB-2025/26-257</t>
    </r>
    <r>
      <rPr>
        <sz val="11"/>
        <color theme="1"/>
        <rFont val="Calibri"/>
        <family val="2"/>
        <scheme val="minor"/>
      </rPr>
      <t/>
    </r>
  </si>
  <si>
    <r>
      <t>PB-2025/26-258</t>
    </r>
    <r>
      <rPr>
        <sz val="11"/>
        <color theme="1"/>
        <rFont val="Calibri"/>
        <family val="2"/>
        <scheme val="minor"/>
      </rPr>
      <t/>
    </r>
  </si>
  <si>
    <r>
      <t>PB-2025/26-259</t>
    </r>
    <r>
      <rPr>
        <sz val="11"/>
        <color theme="1"/>
        <rFont val="Calibri"/>
        <family val="2"/>
        <scheme val="minor"/>
      </rPr>
      <t/>
    </r>
  </si>
  <si>
    <t>26.11.2025</t>
  </si>
  <si>
    <r>
      <t>PB-2025/26-260</t>
    </r>
    <r>
      <rPr>
        <sz val="11"/>
        <color theme="1"/>
        <rFont val="Calibri"/>
        <family val="2"/>
        <scheme val="minor"/>
      </rPr>
      <t/>
    </r>
  </si>
  <si>
    <r>
      <t>PB-2025/26-261</t>
    </r>
    <r>
      <rPr>
        <sz val="11"/>
        <color theme="1"/>
        <rFont val="Calibri"/>
        <family val="2"/>
        <scheme val="minor"/>
      </rPr>
      <t/>
    </r>
  </si>
  <si>
    <t>PB-2025/26-262</t>
  </si>
  <si>
    <t>27.11.2025</t>
  </si>
  <si>
    <r>
      <t>PB-2025/26-263</t>
    </r>
    <r>
      <rPr>
        <sz val="11"/>
        <color theme="1"/>
        <rFont val="Calibri"/>
        <family val="2"/>
        <scheme val="minor"/>
      </rPr>
      <t/>
    </r>
  </si>
  <si>
    <t>28.11.2025</t>
  </si>
  <si>
    <t>PB-2025/26-264</t>
  </si>
  <si>
    <r>
      <t>PB-2025/26-265</t>
    </r>
    <r>
      <rPr>
        <sz val="11"/>
        <color theme="1"/>
        <rFont val="Calibri"/>
        <family val="2"/>
        <scheme val="minor"/>
      </rPr>
      <t/>
    </r>
  </si>
  <si>
    <t>PB-2025/26-266</t>
  </si>
  <si>
    <r>
      <t>PB-2025/26-267</t>
    </r>
    <r>
      <rPr>
        <sz val="11"/>
        <color theme="1"/>
        <rFont val="Calibri"/>
        <family val="2"/>
        <scheme val="minor"/>
      </rPr>
      <t/>
    </r>
  </si>
  <si>
    <t>PB-2025/26-268</t>
  </si>
  <si>
    <r>
      <t>PB-2025/26-269</t>
    </r>
    <r>
      <rPr>
        <sz val="11"/>
        <color theme="1"/>
        <rFont val="Calibri"/>
        <family val="2"/>
        <scheme val="minor"/>
      </rPr>
      <t/>
    </r>
  </si>
  <si>
    <t>KOLHAPUR</t>
  </si>
  <si>
    <t>PB-2025/26-270</t>
  </si>
  <si>
    <t>BELGAUM</t>
  </si>
  <si>
    <r>
      <t>PB-2025/26-271</t>
    </r>
    <r>
      <rPr>
        <sz val="11"/>
        <color theme="1"/>
        <rFont val="Calibri"/>
        <family val="2"/>
        <scheme val="minor"/>
      </rPr>
      <t/>
    </r>
  </si>
  <si>
    <t>29.11.2025</t>
  </si>
  <si>
    <t>PB-2025/26-272</t>
  </si>
  <si>
    <r>
      <t>PB-2025/26-273</t>
    </r>
    <r>
      <rPr>
        <sz val="11"/>
        <color theme="1"/>
        <rFont val="Calibri"/>
        <family val="2"/>
        <scheme val="minor"/>
      </rPr>
      <t/>
    </r>
  </si>
  <si>
    <t>PB-2025/26-274</t>
  </si>
  <si>
    <t>BIJNOR</t>
  </si>
  <si>
    <r>
      <t>PB-2025/26-275</t>
    </r>
    <r>
      <rPr>
        <sz val="11"/>
        <color theme="1"/>
        <rFont val="Calibri"/>
        <family val="2"/>
        <scheme val="minor"/>
      </rPr>
      <t/>
    </r>
  </si>
  <si>
    <r>
      <t>PB-2025/26-276</t>
    </r>
    <r>
      <rPr>
        <sz val="11"/>
        <color theme="1"/>
        <rFont val="Calibri"/>
        <family val="2"/>
        <scheme val="minor"/>
      </rPr>
      <t/>
    </r>
  </si>
  <si>
    <r>
      <t>PB-2025/26-277</t>
    </r>
    <r>
      <rPr>
        <sz val="11"/>
        <color theme="1"/>
        <rFont val="Calibri"/>
        <family val="2"/>
        <scheme val="minor"/>
      </rPr>
      <t/>
    </r>
  </si>
  <si>
    <r>
      <t>PB-2025/26-278</t>
    </r>
    <r>
      <rPr>
        <sz val="11"/>
        <color theme="1"/>
        <rFont val="Calibri"/>
        <family val="2"/>
        <scheme val="minor"/>
      </rPr>
      <t/>
    </r>
  </si>
  <si>
    <r>
      <t>PB-2025/26-279</t>
    </r>
    <r>
      <rPr>
        <sz val="11"/>
        <color theme="1"/>
        <rFont val="Calibri"/>
        <family val="2"/>
        <scheme val="minor"/>
      </rPr>
      <t/>
    </r>
  </si>
  <si>
    <r>
      <t>PB-2025/26-280</t>
    </r>
    <r>
      <rPr>
        <sz val="11"/>
        <color theme="1"/>
        <rFont val="Calibri"/>
        <family val="2"/>
        <scheme val="minor"/>
      </rPr>
      <t/>
    </r>
  </si>
  <si>
    <r>
      <t>PB-2025/26-281</t>
    </r>
    <r>
      <rPr>
        <sz val="11"/>
        <color theme="1"/>
        <rFont val="Calibri"/>
        <family val="2"/>
        <scheme val="minor"/>
      </rPr>
      <t/>
    </r>
  </si>
  <si>
    <r>
      <t>PB-2025/26-282</t>
    </r>
    <r>
      <rPr>
        <sz val="11"/>
        <color theme="1"/>
        <rFont val="Calibri"/>
        <family val="2"/>
        <scheme val="minor"/>
      </rPr>
      <t/>
    </r>
  </si>
  <si>
    <r>
      <t>PB-2025/26-283</t>
    </r>
    <r>
      <rPr>
        <sz val="11"/>
        <color theme="1"/>
        <rFont val="Calibri"/>
        <family val="2"/>
        <scheme val="minor"/>
      </rPr>
      <t/>
    </r>
  </si>
  <si>
    <r>
      <t>PB-2025/26-284</t>
    </r>
    <r>
      <rPr>
        <sz val="11"/>
        <color theme="1"/>
        <rFont val="Calibri"/>
        <family val="2"/>
        <scheme val="minor"/>
      </rPr>
      <t/>
    </r>
  </si>
  <si>
    <r>
      <t>PB-2025/26-285</t>
    </r>
    <r>
      <rPr>
        <sz val="11"/>
        <color theme="1"/>
        <rFont val="Calibri"/>
        <family val="2"/>
        <scheme val="minor"/>
      </rPr>
      <t/>
    </r>
  </si>
  <si>
    <r>
      <t>PB-2025/26-286</t>
    </r>
    <r>
      <rPr>
        <sz val="11"/>
        <color theme="1"/>
        <rFont val="Calibri"/>
        <family val="2"/>
        <scheme val="minor"/>
      </rPr>
      <t/>
    </r>
  </si>
  <si>
    <r>
      <t>PB-2025/26-287</t>
    </r>
    <r>
      <rPr>
        <sz val="11"/>
        <color theme="1"/>
        <rFont val="Calibri"/>
        <family val="2"/>
        <scheme val="minor"/>
      </rPr>
      <t/>
    </r>
  </si>
  <si>
    <r>
      <t>PB-2025/26-288</t>
    </r>
    <r>
      <rPr>
        <sz val="11"/>
        <color theme="1"/>
        <rFont val="Calibri"/>
        <family val="2"/>
        <scheme val="minor"/>
      </rPr>
      <t/>
    </r>
  </si>
  <si>
    <r>
      <t>PB-2025/26-289</t>
    </r>
    <r>
      <rPr>
        <sz val="11"/>
        <color theme="1"/>
        <rFont val="Calibri"/>
        <family val="2"/>
        <scheme val="minor"/>
      </rPr>
      <t/>
    </r>
  </si>
  <si>
    <r>
      <t>PB-2025/26-290</t>
    </r>
    <r>
      <rPr>
        <sz val="11"/>
        <color theme="1"/>
        <rFont val="Calibri"/>
        <family val="2"/>
        <scheme val="minor"/>
      </rPr>
      <t/>
    </r>
  </si>
  <si>
    <r>
      <t>PB-2025/26-291</t>
    </r>
    <r>
      <rPr>
        <sz val="11"/>
        <color theme="1"/>
        <rFont val="Calibri"/>
        <family val="2"/>
        <scheme val="minor"/>
      </rPr>
      <t/>
    </r>
  </si>
  <si>
    <r>
      <t>PB-2025/26-292</t>
    </r>
    <r>
      <rPr>
        <sz val="11"/>
        <color theme="1"/>
        <rFont val="Calibri"/>
        <family val="2"/>
        <scheme val="minor"/>
      </rPr>
      <t/>
    </r>
  </si>
  <si>
    <r>
      <t>PB-2025/26-293</t>
    </r>
    <r>
      <rPr>
        <sz val="11"/>
        <color theme="1"/>
        <rFont val="Calibri"/>
        <family val="2"/>
        <scheme val="minor"/>
      </rPr>
      <t/>
    </r>
  </si>
  <si>
    <r>
      <t>PB-2025/26-294</t>
    </r>
    <r>
      <rPr>
        <sz val="11"/>
        <color theme="1"/>
        <rFont val="Calibri"/>
        <family val="2"/>
        <scheme val="minor"/>
      </rPr>
      <t/>
    </r>
  </si>
  <si>
    <r>
      <t>PB-2025/26-295</t>
    </r>
    <r>
      <rPr>
        <sz val="11"/>
        <color theme="1"/>
        <rFont val="Calibri"/>
        <family val="2"/>
        <scheme val="minor"/>
      </rPr>
      <t/>
    </r>
  </si>
  <si>
    <r>
      <t>PB-2025/26-296</t>
    </r>
    <r>
      <rPr>
        <sz val="11"/>
        <color theme="1"/>
        <rFont val="Calibri"/>
        <family val="2"/>
        <scheme val="minor"/>
      </rPr>
      <t/>
    </r>
  </si>
  <si>
    <r>
      <t>PB-2025/26-297</t>
    </r>
    <r>
      <rPr>
        <sz val="11"/>
        <color theme="1"/>
        <rFont val="Calibri"/>
        <family val="2"/>
        <scheme val="minor"/>
      </rPr>
      <t/>
    </r>
  </si>
  <si>
    <r>
      <t>PB-2025/26-298</t>
    </r>
    <r>
      <rPr>
        <sz val="11"/>
        <color theme="1"/>
        <rFont val="Calibri"/>
        <family val="2"/>
        <scheme val="minor"/>
      </rPr>
      <t/>
    </r>
  </si>
  <si>
    <r>
      <t>PB-2025/26-299</t>
    </r>
    <r>
      <rPr>
        <sz val="11"/>
        <color theme="1"/>
        <rFont val="Calibri"/>
        <family val="2"/>
        <scheme val="minor"/>
      </rPr>
      <t/>
    </r>
  </si>
  <si>
    <r>
      <t>PB-2025/26-300</t>
    </r>
    <r>
      <rPr>
        <sz val="11"/>
        <color theme="1"/>
        <rFont val="Calibri"/>
        <family val="2"/>
        <scheme val="minor"/>
      </rPr>
      <t/>
    </r>
  </si>
  <si>
    <r>
      <t>PB-2025/26-301</t>
    </r>
    <r>
      <rPr>
        <sz val="11"/>
        <color theme="1"/>
        <rFont val="Calibri"/>
        <family val="2"/>
        <scheme val="minor"/>
      </rPr>
      <t/>
    </r>
  </si>
  <si>
    <r>
      <t>PB-2025/26-302</t>
    </r>
    <r>
      <rPr>
        <sz val="11"/>
        <color theme="1"/>
        <rFont val="Calibri"/>
        <family val="2"/>
        <scheme val="minor"/>
      </rPr>
      <t/>
    </r>
  </si>
  <si>
    <r>
      <t>PB-2025/26-303</t>
    </r>
    <r>
      <rPr>
        <sz val="11"/>
        <color theme="1"/>
        <rFont val="Calibri"/>
        <family val="2"/>
        <scheme val="minor"/>
      </rPr>
      <t/>
    </r>
  </si>
  <si>
    <r>
      <t>PB-2025/26-304</t>
    </r>
    <r>
      <rPr>
        <sz val="11"/>
        <color theme="1"/>
        <rFont val="Calibri"/>
        <family val="2"/>
        <scheme val="minor"/>
      </rPr>
      <t/>
    </r>
  </si>
  <si>
    <r>
      <t>PB-2025/26-305</t>
    </r>
    <r>
      <rPr>
        <sz val="11"/>
        <color theme="1"/>
        <rFont val="Calibri"/>
        <family val="2"/>
        <scheme val="minor"/>
      </rPr>
      <t/>
    </r>
  </si>
  <si>
    <r>
      <t>PB-2025/26-306</t>
    </r>
    <r>
      <rPr>
        <sz val="11"/>
        <color theme="1"/>
        <rFont val="Calibri"/>
        <family val="2"/>
        <scheme val="minor"/>
      </rPr>
      <t/>
    </r>
  </si>
  <si>
    <r>
      <t>PB-2025/26-307</t>
    </r>
    <r>
      <rPr>
        <sz val="11"/>
        <color theme="1"/>
        <rFont val="Calibri"/>
        <family val="2"/>
        <scheme val="minor"/>
      </rPr>
      <t/>
    </r>
  </si>
  <si>
    <r>
      <t>PB-2025/26-308</t>
    </r>
    <r>
      <rPr>
        <sz val="11"/>
        <color theme="1"/>
        <rFont val="Calibri"/>
        <family val="2"/>
        <scheme val="minor"/>
      </rPr>
      <t/>
    </r>
  </si>
  <si>
    <r>
      <t>PB-2025/26-309</t>
    </r>
    <r>
      <rPr>
        <sz val="11"/>
        <color theme="1"/>
        <rFont val="Calibri"/>
        <family val="2"/>
        <scheme val="minor"/>
      </rPr>
      <t/>
    </r>
  </si>
  <si>
    <r>
      <t>PB-2025/26-310</t>
    </r>
    <r>
      <rPr>
        <sz val="11"/>
        <color theme="1"/>
        <rFont val="Calibri"/>
        <family val="2"/>
        <scheme val="minor"/>
      </rPr>
      <t/>
    </r>
  </si>
  <si>
    <r>
      <t>PB-2025/26-311</t>
    </r>
    <r>
      <rPr>
        <sz val="11"/>
        <color theme="1"/>
        <rFont val="Calibri"/>
        <family val="2"/>
        <scheme val="minor"/>
      </rPr>
      <t/>
    </r>
  </si>
  <si>
    <r>
      <t>PB-2025/26-312</t>
    </r>
    <r>
      <rPr>
        <sz val="11"/>
        <color theme="1"/>
        <rFont val="Calibri"/>
        <family val="2"/>
        <scheme val="minor"/>
      </rPr>
      <t/>
    </r>
  </si>
  <si>
    <r>
      <t>PB-2025/26-313</t>
    </r>
    <r>
      <rPr>
        <sz val="11"/>
        <color theme="1"/>
        <rFont val="Calibri"/>
        <family val="2"/>
        <scheme val="minor"/>
      </rPr>
      <t/>
    </r>
  </si>
  <si>
    <r>
      <t>PB-2025/26-314</t>
    </r>
    <r>
      <rPr>
        <sz val="11"/>
        <color theme="1"/>
        <rFont val="Calibri"/>
        <family val="2"/>
        <scheme val="minor"/>
      </rPr>
      <t/>
    </r>
  </si>
  <si>
    <t>LR NO</t>
  </si>
  <si>
    <t>TOTAL K.M</t>
  </si>
  <si>
    <t>ADVANCE AMOUNT</t>
  </si>
  <si>
    <t>DIESEL</t>
  </si>
  <si>
    <t>PAID AMOUNT</t>
  </si>
  <si>
    <t>BALANCE AMOUNT</t>
  </si>
  <si>
    <t>NL01AJ0514</t>
  </si>
  <si>
    <t>31.10.2025</t>
  </si>
  <si>
    <t>HYDERABAD + MAHBUBNAGAR</t>
  </si>
  <si>
    <t>NL01AJ0510</t>
  </si>
  <si>
    <t>CUTTACK + BALASORE</t>
  </si>
  <si>
    <t>NL01AJ0512</t>
  </si>
  <si>
    <t>NL01AJ0364</t>
  </si>
  <si>
    <t>NL01AJ6084</t>
  </si>
  <si>
    <t xml:space="preserve">HYDERABAD </t>
  </si>
  <si>
    <t>NL01AJ1592</t>
  </si>
  <si>
    <t>NL01AJ0511</t>
  </si>
  <si>
    <t>KOZHIKODE</t>
  </si>
  <si>
    <t>NL01AJ0509</t>
  </si>
  <si>
    <t>NL01AJ0513</t>
  </si>
  <si>
    <t>17430/17431/17355/17354</t>
  </si>
  <si>
    <t>EAROD</t>
  </si>
  <si>
    <t>17432/17433</t>
  </si>
  <si>
    <t>KOZIKODE</t>
  </si>
  <si>
    <t>DADA SAHEB</t>
  </si>
  <si>
    <t>NL01AJ1463</t>
  </si>
  <si>
    <t>17363/17439</t>
  </si>
  <si>
    <t>NL01Q6308</t>
  </si>
  <si>
    <t>17441/17442/17443/14363</t>
  </si>
  <si>
    <t>BHUNESWAR + BEHRAMPUR + CUTTACK</t>
  </si>
  <si>
    <t>17444/17445/17446/17450</t>
  </si>
  <si>
    <t>HYDEDABAD</t>
  </si>
  <si>
    <t>17372/17373/17452/17453</t>
  </si>
  <si>
    <t>NL01N6084</t>
  </si>
  <si>
    <t>17455/17366/17454/17456</t>
  </si>
  <si>
    <t>RAIPUR + BILASPUR</t>
  </si>
  <si>
    <t>17458/17368/17459/17367</t>
  </si>
  <si>
    <t>18.11.2025</t>
  </si>
  <si>
    <t>17462/17463/17374</t>
  </si>
  <si>
    <t>17377/17461/17378/17460</t>
  </si>
  <si>
    <t>17475/17383</t>
  </si>
  <si>
    <t>NL01AJ1593</t>
  </si>
  <si>
    <t>NL01A0364</t>
  </si>
  <si>
    <t>NL01AJ1598</t>
  </si>
  <si>
    <t>NL01AJ1589</t>
  </si>
  <si>
    <t>RAIPUR + BHILAI</t>
  </si>
  <si>
    <t>BILASPUR</t>
  </si>
  <si>
    <t>NL01AJ1596</t>
  </si>
  <si>
    <t>30.11.2025</t>
  </si>
  <si>
    <t>BHILAI + RAIPUR</t>
  </si>
  <si>
    <t>01.12.2025</t>
  </si>
  <si>
    <t>NL01AJ1591</t>
  </si>
  <si>
    <t>KARNOOL</t>
  </si>
  <si>
    <t>KORBA + AMBIKAPUR</t>
  </si>
  <si>
    <t>02.12.2025</t>
  </si>
  <si>
    <t>PANTNAGAR</t>
  </si>
  <si>
    <t>03.12.2025</t>
  </si>
  <si>
    <t>GURGUGRAM</t>
  </si>
  <si>
    <t>30.12.2025</t>
  </si>
  <si>
    <t>AURANGABAD + BEED</t>
  </si>
  <si>
    <t xml:space="preserve">  </t>
  </si>
  <si>
    <t>NL01AJ1594</t>
  </si>
  <si>
    <t>04.12.2025</t>
  </si>
  <si>
    <t>MAHBOOBNAGAR</t>
  </si>
  <si>
    <t>RAJMUNDRI + VISAKAPATNAM</t>
  </si>
  <si>
    <t>17499/17500</t>
  </si>
  <si>
    <t>05.12.2025</t>
  </si>
  <si>
    <t>06.12.2025</t>
  </si>
  <si>
    <t>TIRVENDRAM</t>
  </si>
  <si>
    <t>RAJKOT + BHUJ + GANDHIDHAM</t>
  </si>
  <si>
    <t>a</t>
  </si>
  <si>
    <t>TIRUCHIPALLI</t>
  </si>
  <si>
    <t>17601/17504</t>
  </si>
  <si>
    <t>09.12.2025</t>
  </si>
  <si>
    <t>10.12.2025</t>
  </si>
  <si>
    <t>TIRUNAVALI</t>
  </si>
  <si>
    <t>KARIMNAGAR + WARANGAL</t>
  </si>
  <si>
    <t>07.12.2025</t>
  </si>
  <si>
    <t>17506/17505</t>
  </si>
  <si>
    <t>NL01AJ509</t>
  </si>
  <si>
    <t>17605/17608/17606/17607</t>
  </si>
  <si>
    <t>17504/17611/17610/17512</t>
  </si>
  <si>
    <t>17513/17612</t>
  </si>
  <si>
    <t>17510/17509</t>
  </si>
  <si>
    <t>RAJMUNDRI + KAKINADA</t>
  </si>
  <si>
    <t>GARUD - SADANAND</t>
  </si>
  <si>
    <t>SANAD</t>
  </si>
  <si>
    <t>NANDED</t>
  </si>
  <si>
    <t>VENDER NAME</t>
  </si>
  <si>
    <t>OM SAI</t>
  </si>
  <si>
    <t>NOV</t>
  </si>
  <si>
    <t>DEC</t>
  </si>
  <si>
    <t>Column1</t>
  </si>
  <si>
    <t>ANANTAPUR +KADAPPA</t>
  </si>
  <si>
    <t>16.12.2025</t>
  </si>
  <si>
    <t>14.12.2025</t>
  </si>
  <si>
    <t>12.12.2025</t>
  </si>
  <si>
    <t>VAPI + SURAT</t>
  </si>
  <si>
    <t>GOA</t>
  </si>
  <si>
    <t>SUJALPUR</t>
  </si>
  <si>
    <t>17.12.2025</t>
  </si>
  <si>
    <t>JAMNAGAR</t>
  </si>
  <si>
    <r>
      <t>PB-2025/26-315</t>
    </r>
    <r>
      <rPr>
        <sz val="11"/>
        <color theme="1"/>
        <rFont val="Calibri"/>
        <family val="2"/>
        <scheme val="minor"/>
      </rPr>
      <t/>
    </r>
  </si>
  <si>
    <r>
      <t>PB-2025/26-316</t>
    </r>
    <r>
      <rPr>
        <sz val="11"/>
        <color theme="1"/>
        <rFont val="Calibri"/>
        <family val="2"/>
        <scheme val="minor"/>
      </rPr>
      <t/>
    </r>
  </si>
  <si>
    <r>
      <t>PB-2025/26-317</t>
    </r>
    <r>
      <rPr>
        <sz val="11"/>
        <color theme="1"/>
        <rFont val="Calibri"/>
        <family val="2"/>
        <scheme val="minor"/>
      </rPr>
      <t/>
    </r>
  </si>
  <si>
    <r>
      <t>PB-2025/26-318</t>
    </r>
    <r>
      <rPr>
        <sz val="11"/>
        <color theme="1"/>
        <rFont val="Calibri"/>
        <family val="2"/>
        <scheme val="minor"/>
      </rPr>
      <t/>
    </r>
  </si>
  <si>
    <r>
      <t>PB-2025/26-319</t>
    </r>
    <r>
      <rPr>
        <sz val="11"/>
        <color theme="1"/>
        <rFont val="Calibri"/>
        <family val="2"/>
        <scheme val="minor"/>
      </rPr>
      <t/>
    </r>
  </si>
  <si>
    <r>
      <t>PB-2025/26-320</t>
    </r>
    <r>
      <rPr>
        <sz val="11"/>
        <color theme="1"/>
        <rFont val="Calibri"/>
        <family val="2"/>
        <scheme val="minor"/>
      </rPr>
      <t/>
    </r>
  </si>
  <si>
    <r>
      <t>PB-2025/26-321</t>
    </r>
    <r>
      <rPr>
        <sz val="11"/>
        <color theme="1"/>
        <rFont val="Calibri"/>
        <family val="2"/>
        <scheme val="minor"/>
      </rPr>
      <t/>
    </r>
  </si>
  <si>
    <r>
      <t>PB-2025/26-322</t>
    </r>
    <r>
      <rPr>
        <sz val="11"/>
        <color theme="1"/>
        <rFont val="Calibri"/>
        <family val="2"/>
        <scheme val="minor"/>
      </rPr>
      <t/>
    </r>
  </si>
  <si>
    <r>
      <t>PB-2025/26-323</t>
    </r>
    <r>
      <rPr>
        <sz val="11"/>
        <color theme="1"/>
        <rFont val="Calibri"/>
        <family val="2"/>
        <scheme val="minor"/>
      </rPr>
      <t/>
    </r>
  </si>
  <si>
    <r>
      <t>PB-2025/26-324</t>
    </r>
    <r>
      <rPr>
        <sz val="11"/>
        <color theme="1"/>
        <rFont val="Calibri"/>
        <family val="2"/>
        <scheme val="minor"/>
      </rPr>
      <t/>
    </r>
  </si>
  <si>
    <r>
      <t>PB-2025/26-325</t>
    </r>
    <r>
      <rPr>
        <sz val="11"/>
        <color theme="1"/>
        <rFont val="Calibri"/>
        <family val="2"/>
        <scheme val="minor"/>
      </rPr>
      <t/>
    </r>
  </si>
  <si>
    <r>
      <t>PB-2025/26-326</t>
    </r>
    <r>
      <rPr>
        <sz val="11"/>
        <color theme="1"/>
        <rFont val="Calibri"/>
        <family val="2"/>
        <scheme val="minor"/>
      </rPr>
      <t/>
    </r>
  </si>
  <si>
    <r>
      <t>PB-2025/26-327</t>
    </r>
    <r>
      <rPr>
        <sz val="11"/>
        <color theme="1"/>
        <rFont val="Calibri"/>
        <family val="2"/>
        <scheme val="minor"/>
      </rPr>
      <t/>
    </r>
  </si>
  <si>
    <r>
      <t>PB-2025/26-328</t>
    </r>
    <r>
      <rPr>
        <sz val="11"/>
        <color theme="1"/>
        <rFont val="Calibri"/>
        <family val="2"/>
        <scheme val="minor"/>
      </rPr>
      <t/>
    </r>
  </si>
  <si>
    <r>
      <t>PB-2025/26-329</t>
    </r>
    <r>
      <rPr>
        <sz val="11"/>
        <color theme="1"/>
        <rFont val="Calibri"/>
        <family val="2"/>
        <scheme val="minor"/>
      </rPr>
      <t/>
    </r>
  </si>
  <si>
    <r>
      <t>PB-2025/26-330</t>
    </r>
    <r>
      <rPr>
        <sz val="11"/>
        <color theme="1"/>
        <rFont val="Calibri"/>
        <family val="2"/>
        <scheme val="minor"/>
      </rPr>
      <t/>
    </r>
  </si>
  <si>
    <r>
      <t>PB-2025/26-331</t>
    </r>
    <r>
      <rPr>
        <sz val="11"/>
        <color theme="1"/>
        <rFont val="Calibri"/>
        <family val="2"/>
        <scheme val="minor"/>
      </rPr>
      <t/>
    </r>
  </si>
  <si>
    <r>
      <t>PB-2025/26-332</t>
    </r>
    <r>
      <rPr>
        <sz val="11"/>
        <color theme="1"/>
        <rFont val="Calibri"/>
        <family val="2"/>
        <scheme val="minor"/>
      </rPr>
      <t/>
    </r>
  </si>
  <si>
    <r>
      <t>PB-2025/26-333</t>
    </r>
    <r>
      <rPr>
        <sz val="11"/>
        <color theme="1"/>
        <rFont val="Calibri"/>
        <family val="2"/>
        <scheme val="minor"/>
      </rPr>
      <t/>
    </r>
  </si>
  <si>
    <r>
      <t>PB-2025/26-334</t>
    </r>
    <r>
      <rPr>
        <sz val="11"/>
        <color theme="1"/>
        <rFont val="Calibri"/>
        <family val="2"/>
        <scheme val="minor"/>
      </rPr>
      <t/>
    </r>
  </si>
  <si>
    <r>
      <t>PB-2025/26-335</t>
    </r>
    <r>
      <rPr>
        <sz val="11"/>
        <color theme="1"/>
        <rFont val="Calibri"/>
        <family val="2"/>
        <scheme val="minor"/>
      </rPr>
      <t/>
    </r>
  </si>
  <si>
    <r>
      <t>PB-2025/26-336</t>
    </r>
    <r>
      <rPr>
        <sz val="11"/>
        <color theme="1"/>
        <rFont val="Calibri"/>
        <family val="2"/>
        <scheme val="minor"/>
      </rPr>
      <t/>
    </r>
  </si>
  <si>
    <r>
      <t>PB-2025/26-337</t>
    </r>
    <r>
      <rPr>
        <sz val="11"/>
        <color theme="1"/>
        <rFont val="Calibri"/>
        <family val="2"/>
        <scheme val="minor"/>
      </rPr>
      <t/>
    </r>
  </si>
  <si>
    <r>
      <t>PB-2025/26-338</t>
    </r>
    <r>
      <rPr>
        <sz val="11"/>
        <color theme="1"/>
        <rFont val="Calibri"/>
        <family val="2"/>
        <scheme val="minor"/>
      </rPr>
      <t/>
    </r>
  </si>
  <si>
    <r>
      <t>PB-2025/26-339</t>
    </r>
    <r>
      <rPr>
        <sz val="11"/>
        <color theme="1"/>
        <rFont val="Calibri"/>
        <family val="2"/>
        <scheme val="minor"/>
      </rPr>
      <t/>
    </r>
  </si>
  <si>
    <r>
      <t>PB-2025/26-340</t>
    </r>
    <r>
      <rPr>
        <sz val="11"/>
        <color theme="1"/>
        <rFont val="Calibri"/>
        <family val="2"/>
        <scheme val="minor"/>
      </rPr>
      <t/>
    </r>
  </si>
  <si>
    <r>
      <t>PB-2025/26-341</t>
    </r>
    <r>
      <rPr>
        <sz val="11"/>
        <color theme="1"/>
        <rFont val="Calibri"/>
        <family val="2"/>
        <scheme val="minor"/>
      </rPr>
      <t/>
    </r>
  </si>
  <si>
    <r>
      <t>PB-2025/26-342</t>
    </r>
    <r>
      <rPr>
        <sz val="11"/>
        <color theme="1"/>
        <rFont val="Calibri"/>
        <family val="2"/>
        <scheme val="minor"/>
      </rPr>
      <t/>
    </r>
  </si>
  <si>
    <r>
      <t>PB-2025/26-343</t>
    </r>
    <r>
      <rPr>
        <sz val="11"/>
        <color theme="1"/>
        <rFont val="Calibri"/>
        <family val="2"/>
        <scheme val="minor"/>
      </rPr>
      <t/>
    </r>
  </si>
  <si>
    <r>
      <t>PB-2025/26-344</t>
    </r>
    <r>
      <rPr>
        <sz val="11"/>
        <color theme="1"/>
        <rFont val="Calibri"/>
        <family val="2"/>
        <scheme val="minor"/>
      </rPr>
      <t/>
    </r>
  </si>
  <si>
    <r>
      <t>PB-2025/26-345</t>
    </r>
    <r>
      <rPr>
        <sz val="11"/>
        <color theme="1"/>
        <rFont val="Calibri"/>
        <family val="2"/>
        <scheme val="minor"/>
      </rPr>
      <t/>
    </r>
  </si>
  <si>
    <r>
      <t>PB-2025/26-346</t>
    </r>
    <r>
      <rPr>
        <sz val="11"/>
        <color theme="1"/>
        <rFont val="Calibri"/>
        <family val="2"/>
        <scheme val="minor"/>
      </rPr>
      <t/>
    </r>
  </si>
  <si>
    <r>
      <t>PB-2025/26-347</t>
    </r>
    <r>
      <rPr>
        <sz val="11"/>
        <color theme="1"/>
        <rFont val="Calibri"/>
        <family val="2"/>
        <scheme val="minor"/>
      </rPr>
      <t/>
    </r>
  </si>
  <si>
    <r>
      <t>PB-2025/26-348</t>
    </r>
    <r>
      <rPr>
        <sz val="11"/>
        <color theme="1"/>
        <rFont val="Calibri"/>
        <family val="2"/>
        <scheme val="minor"/>
      </rPr>
      <t/>
    </r>
  </si>
  <si>
    <r>
      <t>PB-2025/26-349</t>
    </r>
    <r>
      <rPr>
        <sz val="11"/>
        <color theme="1"/>
        <rFont val="Calibri"/>
        <family val="2"/>
        <scheme val="minor"/>
      </rPr>
      <t/>
    </r>
  </si>
  <si>
    <r>
      <t>PB-2025/26-350</t>
    </r>
    <r>
      <rPr>
        <sz val="11"/>
        <color theme="1"/>
        <rFont val="Calibri"/>
        <family val="2"/>
        <scheme val="minor"/>
      </rPr>
      <t/>
    </r>
  </si>
  <si>
    <r>
      <t>PB-2025/26-351</t>
    </r>
    <r>
      <rPr>
        <sz val="11"/>
        <color theme="1"/>
        <rFont val="Calibri"/>
        <family val="2"/>
        <scheme val="minor"/>
      </rPr>
      <t/>
    </r>
  </si>
  <si>
    <r>
      <t>PB-2025/26-352</t>
    </r>
    <r>
      <rPr>
        <sz val="11"/>
        <color theme="1"/>
        <rFont val="Calibri"/>
        <family val="2"/>
        <scheme val="minor"/>
      </rPr>
      <t/>
    </r>
  </si>
  <si>
    <r>
      <t>PB-2025/26-353</t>
    </r>
    <r>
      <rPr>
        <sz val="11"/>
        <color theme="1"/>
        <rFont val="Calibri"/>
        <family val="2"/>
        <scheme val="minor"/>
      </rPr>
      <t/>
    </r>
  </si>
  <si>
    <r>
      <t>PB-2025/26-354</t>
    </r>
    <r>
      <rPr>
        <sz val="11"/>
        <color theme="1"/>
        <rFont val="Calibri"/>
        <family val="2"/>
        <scheme val="minor"/>
      </rPr>
      <t/>
    </r>
  </si>
  <si>
    <r>
      <t>PB-2025/26-355</t>
    </r>
    <r>
      <rPr>
        <sz val="11"/>
        <color theme="1"/>
        <rFont val="Calibri"/>
        <family val="2"/>
        <scheme val="minor"/>
      </rPr>
      <t/>
    </r>
  </si>
  <si>
    <r>
      <t>PB-2025/26-356</t>
    </r>
    <r>
      <rPr>
        <sz val="11"/>
        <color theme="1"/>
        <rFont val="Calibri"/>
        <family val="2"/>
        <scheme val="minor"/>
      </rPr>
      <t/>
    </r>
  </si>
  <si>
    <r>
      <t>PB-2025/26-357</t>
    </r>
    <r>
      <rPr>
        <sz val="11"/>
        <color theme="1"/>
        <rFont val="Calibri"/>
        <family val="2"/>
        <scheme val="minor"/>
      </rPr>
      <t/>
    </r>
  </si>
  <si>
    <r>
      <t>PB-2025/26-358</t>
    </r>
    <r>
      <rPr>
        <sz val="11"/>
        <color theme="1"/>
        <rFont val="Calibri"/>
        <family val="2"/>
        <scheme val="minor"/>
      </rPr>
      <t/>
    </r>
  </si>
  <si>
    <r>
      <t>PB-2025/26-359</t>
    </r>
    <r>
      <rPr>
        <sz val="11"/>
        <color theme="1"/>
        <rFont val="Calibri"/>
        <family val="2"/>
        <scheme val="minor"/>
      </rPr>
      <t/>
    </r>
  </si>
  <si>
    <r>
      <t>PB-2025/26-360</t>
    </r>
    <r>
      <rPr>
        <sz val="11"/>
        <color theme="1"/>
        <rFont val="Calibri"/>
        <family val="2"/>
        <scheme val="minor"/>
      </rPr>
      <t/>
    </r>
  </si>
  <si>
    <r>
      <t>PB-2025/26-361</t>
    </r>
    <r>
      <rPr>
        <sz val="11"/>
        <color theme="1"/>
        <rFont val="Calibri"/>
        <family val="2"/>
        <scheme val="minor"/>
      </rPr>
      <t/>
    </r>
  </si>
  <si>
    <r>
      <t>PB-2025/26-362</t>
    </r>
    <r>
      <rPr>
        <sz val="11"/>
        <color theme="1"/>
        <rFont val="Calibri"/>
        <family val="2"/>
        <scheme val="minor"/>
      </rPr>
      <t/>
    </r>
  </si>
  <si>
    <r>
      <t>PB-2025/26-363</t>
    </r>
    <r>
      <rPr>
        <sz val="11"/>
        <color theme="1"/>
        <rFont val="Calibri"/>
        <family val="2"/>
        <scheme val="minor"/>
      </rPr>
      <t/>
    </r>
  </si>
  <si>
    <r>
      <t>PB-2025/26-364</t>
    </r>
    <r>
      <rPr>
        <sz val="11"/>
        <color theme="1"/>
        <rFont val="Calibri"/>
        <family val="2"/>
        <scheme val="minor"/>
      </rPr>
      <t/>
    </r>
  </si>
  <si>
    <r>
      <t>PB-2025/26-365</t>
    </r>
    <r>
      <rPr>
        <sz val="11"/>
        <color theme="1"/>
        <rFont val="Calibri"/>
        <family val="2"/>
        <scheme val="minor"/>
      </rPr>
      <t/>
    </r>
  </si>
  <si>
    <r>
      <t>PB-2025/26-366</t>
    </r>
    <r>
      <rPr>
        <sz val="11"/>
        <color theme="1"/>
        <rFont val="Calibri"/>
        <family val="2"/>
        <scheme val="minor"/>
      </rPr>
      <t/>
    </r>
  </si>
  <si>
    <r>
      <t>PB-2025/26-367</t>
    </r>
    <r>
      <rPr>
        <sz val="11"/>
        <color theme="1"/>
        <rFont val="Calibri"/>
        <family val="2"/>
        <scheme val="minor"/>
      </rPr>
      <t/>
    </r>
  </si>
  <si>
    <r>
      <t>PB-2025/26-368</t>
    </r>
    <r>
      <rPr>
        <sz val="11"/>
        <color theme="1"/>
        <rFont val="Calibri"/>
        <family val="2"/>
        <scheme val="minor"/>
      </rPr>
      <t/>
    </r>
  </si>
  <si>
    <r>
      <t>PB-2025/26-369</t>
    </r>
    <r>
      <rPr>
        <sz val="11"/>
        <color theme="1"/>
        <rFont val="Calibri"/>
        <family val="2"/>
        <scheme val="minor"/>
      </rPr>
      <t/>
    </r>
  </si>
  <si>
    <r>
      <t>PB-2025/26-370</t>
    </r>
    <r>
      <rPr>
        <sz val="11"/>
        <color theme="1"/>
        <rFont val="Calibri"/>
        <family val="2"/>
        <scheme val="minor"/>
      </rPr>
      <t/>
    </r>
  </si>
  <si>
    <r>
      <t>PB-2025/26-371</t>
    </r>
    <r>
      <rPr>
        <sz val="11"/>
        <color theme="1"/>
        <rFont val="Calibri"/>
        <family val="2"/>
        <scheme val="minor"/>
      </rPr>
      <t/>
    </r>
  </si>
  <si>
    <r>
      <t>PB-2025/26-372</t>
    </r>
    <r>
      <rPr>
        <sz val="11"/>
        <color theme="1"/>
        <rFont val="Calibri"/>
        <family val="2"/>
        <scheme val="minor"/>
      </rPr>
      <t/>
    </r>
  </si>
  <si>
    <r>
      <t>PB-2025/26-373</t>
    </r>
    <r>
      <rPr>
        <sz val="11"/>
        <color theme="1"/>
        <rFont val="Calibri"/>
        <family val="2"/>
        <scheme val="minor"/>
      </rPr>
      <t/>
    </r>
  </si>
  <si>
    <r>
      <t>PB-2025/26-374</t>
    </r>
    <r>
      <rPr>
        <sz val="11"/>
        <color theme="1"/>
        <rFont val="Calibri"/>
        <family val="2"/>
        <scheme val="minor"/>
      </rPr>
      <t/>
    </r>
  </si>
  <si>
    <r>
      <t>PB-2025/26-375</t>
    </r>
    <r>
      <rPr>
        <sz val="11"/>
        <color theme="1"/>
        <rFont val="Calibri"/>
        <family val="2"/>
        <scheme val="minor"/>
      </rPr>
      <t/>
    </r>
  </si>
  <si>
    <t>19.12.2025</t>
  </si>
  <si>
    <t>RAIPUR</t>
  </si>
  <si>
    <t>20.12.2025</t>
  </si>
  <si>
    <t>TOYOTA</t>
  </si>
  <si>
    <t>RAJANGAON</t>
  </si>
  <si>
    <t>21.12.2025</t>
  </si>
  <si>
    <t>22.12.2025</t>
  </si>
  <si>
    <t>GANDHINAGAR</t>
  </si>
  <si>
    <t>BHIMAVARAM</t>
  </si>
  <si>
    <t>24.12.2025</t>
  </si>
  <si>
    <t>Barali + Ruderpur</t>
  </si>
  <si>
    <t>BARAMATI</t>
  </si>
  <si>
    <t>25.12.2025</t>
  </si>
  <si>
    <t>ALLHABAD + VARANASI</t>
  </si>
  <si>
    <t xml:space="preserve">ALLHABAD </t>
  </si>
  <si>
    <t>DELHI</t>
  </si>
  <si>
    <t>27.12.2025</t>
  </si>
  <si>
    <t>KOZIKOT</t>
  </si>
  <si>
    <t>29.12.2025</t>
  </si>
  <si>
    <t>HOSPET</t>
  </si>
  <si>
    <t>31.12.2025</t>
  </si>
  <si>
    <t>02.01.2026</t>
  </si>
  <si>
    <t>11.12.2025</t>
  </si>
  <si>
    <t>03.01.2026</t>
  </si>
  <si>
    <t>RANGANGAO</t>
  </si>
  <si>
    <t>DEWAS</t>
  </si>
  <si>
    <t>08.12.2025</t>
  </si>
  <si>
    <t>BARELI</t>
  </si>
  <si>
    <t>23.11.2025</t>
  </si>
  <si>
    <t>04.01.2025</t>
  </si>
  <si>
    <t>MODASA</t>
  </si>
  <si>
    <t>05.01.2026</t>
  </si>
  <si>
    <t>06.01.2026</t>
  </si>
  <si>
    <t>07.01.2026</t>
  </si>
  <si>
    <t>ETAWA</t>
  </si>
  <si>
    <t>BHUBNESHWAR</t>
  </si>
  <si>
    <r>
      <t>PB-2025/26-376</t>
    </r>
    <r>
      <rPr>
        <sz val="11"/>
        <color theme="1"/>
        <rFont val="Calibri"/>
        <family val="2"/>
        <scheme val="minor"/>
      </rPr>
      <t/>
    </r>
  </si>
  <si>
    <r>
      <t>PB-2025/26-377</t>
    </r>
    <r>
      <rPr>
        <sz val="11"/>
        <color theme="1"/>
        <rFont val="Calibri"/>
        <family val="2"/>
        <scheme val="minor"/>
      </rPr>
      <t/>
    </r>
  </si>
  <si>
    <r>
      <t>PB-2025/26-378</t>
    </r>
    <r>
      <rPr>
        <sz val="11"/>
        <color theme="1"/>
        <rFont val="Calibri"/>
        <family val="2"/>
        <scheme val="minor"/>
      </rPr>
      <t/>
    </r>
  </si>
  <si>
    <r>
      <t>PB-2025/26-379</t>
    </r>
    <r>
      <rPr>
        <sz val="11"/>
        <color theme="1"/>
        <rFont val="Calibri"/>
        <family val="2"/>
        <scheme val="minor"/>
      </rPr>
      <t/>
    </r>
  </si>
  <si>
    <r>
      <t>PB-2025/26-380</t>
    </r>
    <r>
      <rPr>
        <sz val="11"/>
        <color theme="1"/>
        <rFont val="Calibri"/>
        <family val="2"/>
        <scheme val="minor"/>
      </rPr>
      <t/>
    </r>
  </si>
  <si>
    <r>
      <t>PB-2025/26-381</t>
    </r>
    <r>
      <rPr>
        <sz val="11"/>
        <color theme="1"/>
        <rFont val="Calibri"/>
        <family val="2"/>
        <scheme val="minor"/>
      </rPr>
      <t/>
    </r>
  </si>
  <si>
    <r>
      <t>PB-2025/26-382</t>
    </r>
    <r>
      <rPr>
        <sz val="11"/>
        <color theme="1"/>
        <rFont val="Calibri"/>
        <family val="2"/>
        <scheme val="minor"/>
      </rPr>
      <t/>
    </r>
  </si>
  <si>
    <r>
      <t>PB-2025/26-383</t>
    </r>
    <r>
      <rPr>
        <sz val="11"/>
        <color theme="1"/>
        <rFont val="Calibri"/>
        <family val="2"/>
        <scheme val="minor"/>
      </rPr>
      <t/>
    </r>
  </si>
  <si>
    <r>
      <t>PB-2025/26-384</t>
    </r>
    <r>
      <rPr>
        <sz val="11"/>
        <color theme="1"/>
        <rFont val="Calibri"/>
        <family val="2"/>
        <scheme val="minor"/>
      </rPr>
      <t/>
    </r>
  </si>
  <si>
    <r>
      <t>PB-2025/26-385</t>
    </r>
    <r>
      <rPr>
        <sz val="11"/>
        <color theme="1"/>
        <rFont val="Calibri"/>
        <family val="2"/>
        <scheme val="minor"/>
      </rPr>
      <t/>
    </r>
  </si>
  <si>
    <r>
      <t>PB-2025/26-386</t>
    </r>
    <r>
      <rPr>
        <sz val="11"/>
        <color theme="1"/>
        <rFont val="Calibri"/>
        <family val="2"/>
        <scheme val="minor"/>
      </rPr>
      <t/>
    </r>
  </si>
  <si>
    <r>
      <t>PB-2025/26-387</t>
    </r>
    <r>
      <rPr>
        <sz val="11"/>
        <color theme="1"/>
        <rFont val="Calibri"/>
        <family val="2"/>
        <scheme val="minor"/>
      </rPr>
      <t/>
    </r>
  </si>
  <si>
    <r>
      <t>PB-2025/26-388</t>
    </r>
    <r>
      <rPr>
        <sz val="11"/>
        <color theme="1"/>
        <rFont val="Calibri"/>
        <family val="2"/>
        <scheme val="minor"/>
      </rPr>
      <t/>
    </r>
  </si>
  <si>
    <r>
      <t>PB-2025/26-389</t>
    </r>
    <r>
      <rPr>
        <sz val="11"/>
        <color theme="1"/>
        <rFont val="Calibri"/>
        <family val="2"/>
        <scheme val="minor"/>
      </rPr>
      <t/>
    </r>
  </si>
  <si>
    <r>
      <t>PB-2025/26-390</t>
    </r>
    <r>
      <rPr>
        <sz val="11"/>
        <color theme="1"/>
        <rFont val="Calibri"/>
        <family val="2"/>
        <scheme val="minor"/>
      </rPr>
      <t/>
    </r>
  </si>
  <si>
    <r>
      <t>PB-2025/26-391</t>
    </r>
    <r>
      <rPr>
        <sz val="11"/>
        <color theme="1"/>
        <rFont val="Calibri"/>
        <family val="2"/>
        <scheme val="minor"/>
      </rPr>
      <t/>
    </r>
  </si>
  <si>
    <r>
      <t>PB-2025/26-392</t>
    </r>
    <r>
      <rPr>
        <sz val="11"/>
        <color theme="1"/>
        <rFont val="Calibri"/>
        <family val="2"/>
        <scheme val="minor"/>
      </rPr>
      <t/>
    </r>
  </si>
  <si>
    <r>
      <t>PB-2025/26-393</t>
    </r>
    <r>
      <rPr>
        <sz val="11"/>
        <color theme="1"/>
        <rFont val="Calibri"/>
        <family val="2"/>
        <scheme val="minor"/>
      </rPr>
      <t/>
    </r>
  </si>
  <si>
    <r>
      <t>PB-2025/26-394</t>
    </r>
    <r>
      <rPr>
        <sz val="11"/>
        <color theme="1"/>
        <rFont val="Calibri"/>
        <family val="2"/>
        <scheme val="minor"/>
      </rPr>
      <t/>
    </r>
  </si>
  <si>
    <r>
      <t>PB-2025/26-395</t>
    </r>
    <r>
      <rPr>
        <sz val="11"/>
        <color theme="1"/>
        <rFont val="Calibri"/>
        <family val="2"/>
        <scheme val="minor"/>
      </rPr>
      <t/>
    </r>
  </si>
  <si>
    <r>
      <t>PB-2025/26-396</t>
    </r>
    <r>
      <rPr>
        <sz val="11"/>
        <color theme="1"/>
        <rFont val="Calibri"/>
        <family val="2"/>
        <scheme val="minor"/>
      </rPr>
      <t/>
    </r>
  </si>
  <si>
    <r>
      <t>PB-2025/26-397</t>
    </r>
    <r>
      <rPr>
        <sz val="11"/>
        <color theme="1"/>
        <rFont val="Calibri"/>
        <family val="2"/>
        <scheme val="minor"/>
      </rPr>
      <t/>
    </r>
  </si>
  <si>
    <t>08.01.2026</t>
  </si>
  <si>
    <t>VISAKHAPATNAM</t>
  </si>
  <si>
    <t>KANNUR</t>
  </si>
  <si>
    <t>MYSORE</t>
  </si>
  <si>
    <t>17682/17680/17681</t>
  </si>
  <si>
    <t>17574/17573</t>
  </si>
  <si>
    <t>17577/17686</t>
  </si>
  <si>
    <t>17688/17684/17576/17575</t>
  </si>
  <si>
    <t>10.01.2026</t>
  </si>
  <si>
    <t>23.12.2025</t>
  </si>
  <si>
    <t>EMPTY - SAMBALPUR TO PUNE</t>
  </si>
  <si>
    <t>PUNE TO BILASPUR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</si>
</sst>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7.5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D0D0D"/>
      <name val="Calibri"/>
      <family val="1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1"/>
    </font>
    <font>
      <sz val="10"/>
      <color rgb="FF000000"/>
      <name val="Times New Roman"/>
      <family val="1"/>
    </font>
    <font>
      <sz val="10"/>
      <color rgb="FF222222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4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0" fillId="3" borderId="6" xfId="0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0" fillId="3" borderId="9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7" fillId="0" borderId="0" xfId="0" applyFont="1" applyAlignment="1">
      <alignment horizontal="center"/>
    </xf>
    <xf numFmtId="0" fontId="4" fillId="10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top"/>
    </xf>
    <xf numFmtId="16" fontId="0" fillId="3" borderId="2" xfId="0" applyNumberForma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14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 vertical="top"/>
    </xf>
    <xf numFmtId="16" fontId="0" fillId="14" borderId="2" xfId="0" applyNumberForma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6" fontId="0" fillId="14" borderId="1" xfId="0" applyNumberForma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32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A036A-E0CA-4F95-A7DC-60F33B69CC3E}" name="Table1" displayName="Table1" ref="A2:AC399" totalsRowShown="0" headerRowDxfId="31" dataDxfId="30" tableBorderDxfId="29">
  <autoFilter ref="A2:AC399" xr:uid="{EEAA036A-E0CA-4F95-A7DC-60F33B69CC3E}"/>
  <tableColumns count="29">
    <tableColumn id="1" xr3:uid="{2F28D0C6-14CB-4A88-B73F-1444A0E0CCA8}" name="S.No" dataDxfId="28"/>
    <tableColumn id="2" xr3:uid="{4A09F37D-AAEB-43C5-82CB-BF25A2C2DE95}" name="Trip Number" dataDxfId="27"/>
    <tableColumn id="3" xr3:uid="{F867E0D9-9A6A-45B8-B2A2-8B4F94627060}" name="Vehicle number" dataDxfId="26"/>
    <tableColumn id="4" xr3:uid="{1BE4D889-C236-4145-BFF9-7BA2A702FD87}" name="MONTH" dataDxfId="25"/>
    <tableColumn id="5" xr3:uid="{EB33DC59-B02E-4987-9434-15DE49D12C9F}" name="Loading date" dataDxfId="24"/>
    <tableColumn id="6" xr3:uid="{6BF35953-678D-4F96-A93C-677C401240A9}" name="PLANT NAME" dataDxfId="23"/>
    <tableColumn id="7" xr3:uid="{88DFD7D8-665B-4FFC-B662-C6AC715C76A2}" name="From" dataDxfId="22"/>
    <tableColumn id="8" xr3:uid="{411B9D2A-00BE-4331-9A3D-4BF39206A79E}" name="To" dataDxfId="21"/>
    <tableColumn id="9" xr3:uid="{408B54D9-850C-4302-98E0-3E0995ED5F68}" name="Car QTY" dataDxfId="20"/>
    <tableColumn id="11" xr3:uid="{D486D45E-58C4-4B5A-9C46-5937D1F0CAE3}" name="INVOICE AMOUNT2" dataDxfId="19"/>
    <tableColumn id="14" xr3:uid="{86203E83-91FC-4D90-83D4-2EA605A49318}" name="Diesel" dataDxfId="18"/>
    <tableColumn id="15" xr3:uid="{9AED543A-3A77-445C-9D01-12EE099655DC}" name="TOLL" dataDxfId="17"/>
    <tableColumn id="16" xr3:uid="{DEA9A5CA-A9AA-4DDB-B219-1724AD7D2CFB}" name="Border" dataDxfId="16"/>
    <tableColumn id="17" xr3:uid="{FC748170-20AD-4ACF-8B5C-31D4B2D6FAF4}" name="Mumbai cran" dataDxfId="15"/>
    <tableColumn id="18" xr3:uid="{2BD029FB-ADA8-43F9-9C34-1A3004AE6F7C}" name="Maintenes" dataDxfId="14"/>
    <tableColumn id="19" xr3:uid="{CD125092-61FE-4E6F-86F1-3E1367777592}" name="Pod" dataDxfId="13"/>
    <tableColumn id="20" xr3:uid="{DF09E0C0-A444-46F5-A379-4870205B210A}" name="Police/Gurd" dataDxfId="12"/>
    <tableColumn id="21" xr3:uid="{EFBE8076-7740-439F-99A0-4B143CF3E36A}" name="Conductor " dataDxfId="11"/>
    <tableColumn id="22" xr3:uid="{AD75E8A7-C77A-4374-BE1B-42E725E790FC}" name="Parking" dataDxfId="10"/>
    <tableColumn id="23" xr3:uid="{1B854644-BF1B-4398-964A-F883E2A26935}" name="OTHER" dataDxfId="9"/>
    <tableColumn id="24" xr3:uid="{67ED2CBC-A3F4-4D06-94AD-3F166292E7C7}" name="Ad Blue" dataDxfId="8"/>
    <tableColumn id="25" xr3:uid="{A8A09313-5C78-4247-9A2E-5FB69683BB30}" name="Total Exp." dataDxfId="7">
      <calculatedColumnFormula>SUM(K3:U3)</calculatedColumnFormula>
    </tableColumn>
    <tableColumn id="26" xr3:uid="{0771EE11-EA8C-4B39-9C68-0E1B5B6C4999}" name="LOAD K.M" dataDxfId="6"/>
    <tableColumn id="27" xr3:uid="{431F06B6-7D11-4A59-8F19-5EE4C72E91CF}" name="EMPTY K.M" dataDxfId="5"/>
    <tableColumn id="28" xr3:uid="{2F93F491-EB42-42BA-AD0D-7B76A5FA0B85}" name="Total k.m" dataDxfId="4">
      <calculatedColumnFormula>Table1[[#This Row],[LOAD K.M]]+Table1[[#This Row],[EMPTY K.M]]</calculatedColumnFormula>
    </tableColumn>
    <tableColumn id="29" xr3:uid="{18400086-14A3-49C5-8544-1451F2C46DC5}" name="Profit/loss" dataDxfId="3">
      <calculatedColumnFormula>Table1[[#This Row],[INVOICE AMOUNT2]]-Table1[[#This Row],[Total Exp.]]</calculatedColumnFormula>
    </tableColumn>
    <tableColumn id="30" xr3:uid="{C22E40E8-B5BC-48F6-B951-026FBBAEAB01}" name="EXP PER K.M" dataDxfId="2">
      <calculatedColumnFormula>Table1[[#This Row],[Total Exp.]]/Table1[[#This Row],[Total k.m]]</calculatedColumnFormula>
    </tableColumn>
    <tableColumn id="31" xr3:uid="{C8D2D3FA-312B-4086-A268-C1726C3BF4DA}" name="PROFIT PER K.M" dataDxfId="1">
      <calculatedColumnFormula>Table1[[#This Row],[Profit/loss]]/Table1[[#This Row],[Total k.m]]</calculatedColumnFormula>
    </tableColumn>
    <tableColumn id="10" xr3:uid="{58B568D8-791E-4A07-AEC0-D2EFEEE59E25}" name="Column1" dataDxfId="0">
      <calculatedColumnFormula>Table1[[#This Row],[INVOICE AMOUNT2]]/Table1[[#This Row],[Total k.m]]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50EC-AE80-4601-A8D3-D76B9E16A27F}">
  <sheetPr>
    <pageSetUpPr fitToPage="1"/>
  </sheetPr>
  <dimension ref="A2:AC399"/>
  <sheetViews>
    <sheetView topLeftCell="A2" workbookViewId="0">
      <selection activeCell="F2" sqref="F2"/>
    </sheetView>
  </sheetViews>
  <sheetFormatPr defaultColWidth="8.88671875" defaultRowHeight="15.6" x14ac:dyDescent="0.3"/>
  <cols>
    <col min="1" max="1" width="10.21875" style="6" bestFit="1" customWidth="1"/>
    <col min="2" max="2" width="17.33203125" style="6" bestFit="1" customWidth="1"/>
    <col min="3" max="3" width="20" style="6" bestFit="1" customWidth="1"/>
    <col min="4" max="4" width="16.44140625" style="6" customWidth="1"/>
    <col min="5" max="5" width="17.5546875" style="63" bestFit="1" customWidth="1"/>
    <col min="6" max="6" width="17.88671875" style="6" bestFit="1" customWidth="1"/>
    <col min="7" max="7" width="12.77734375" style="6" customWidth="1"/>
    <col min="8" max="8" width="26.88671875" style="6" bestFit="1" customWidth="1"/>
    <col min="9" max="9" width="13.44140625" style="6" customWidth="1"/>
    <col min="10" max="10" width="22.109375" style="6" bestFit="1" customWidth="1"/>
    <col min="11" max="11" width="11.21875" style="6" customWidth="1"/>
    <col min="12" max="12" width="10.33203125" style="6" customWidth="1"/>
    <col min="13" max="13" width="12.109375" style="6" customWidth="1"/>
    <col min="14" max="14" width="17.77734375" style="6" customWidth="1"/>
    <col min="15" max="15" width="15.33203125" style="6" customWidth="1"/>
    <col min="16" max="16" width="9.5546875" style="6" customWidth="1"/>
    <col min="17" max="17" width="16.6640625" style="6" customWidth="1"/>
    <col min="18" max="18" width="15.88671875" style="6" customWidth="1"/>
    <col min="19" max="19" width="12.77734375" style="6" customWidth="1"/>
    <col min="20" max="21" width="12.88671875" style="6" customWidth="1"/>
    <col min="22" max="22" width="14.6640625" style="6" bestFit="1" customWidth="1"/>
    <col min="23" max="23" width="18.21875" style="6" bestFit="1" customWidth="1"/>
    <col min="24" max="24" width="17.109375" style="6" bestFit="1" customWidth="1"/>
    <col min="25" max="25" width="14.33203125" style="6" bestFit="1" customWidth="1"/>
    <col min="26" max="26" width="15.21875" style="6" bestFit="1" customWidth="1"/>
    <col min="27" max="27" width="17" style="6" customWidth="1"/>
    <col min="28" max="28" width="17.109375" style="6" customWidth="1"/>
    <col min="29" max="16384" width="8.88671875" style="6"/>
  </cols>
  <sheetData>
    <row r="2" spans="1:29" x14ac:dyDescent="0.3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3" t="s">
        <v>26</v>
      </c>
      <c r="AB2" s="5" t="s">
        <v>27</v>
      </c>
      <c r="AC2" s="5" t="s">
        <v>668</v>
      </c>
    </row>
    <row r="3" spans="1:29" x14ac:dyDescent="0.3">
      <c r="A3" s="7" t="s">
        <v>646</v>
      </c>
      <c r="B3" s="8" t="s">
        <v>28</v>
      </c>
      <c r="C3" s="9" t="s">
        <v>29</v>
      </c>
      <c r="D3" s="10">
        <v>45894</v>
      </c>
      <c r="E3" s="11"/>
      <c r="F3" s="12" t="s">
        <v>30</v>
      </c>
      <c r="G3" s="12" t="s">
        <v>31</v>
      </c>
      <c r="H3" s="13" t="s">
        <v>32</v>
      </c>
      <c r="I3" s="14">
        <v>6</v>
      </c>
      <c r="J3" s="15">
        <v>35000</v>
      </c>
      <c r="K3" s="16">
        <v>1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>
        <f>SUM(K3:U3)</f>
        <v>1</v>
      </c>
      <c r="W3" s="16"/>
      <c r="X3" s="16"/>
      <c r="Y3" s="16">
        <f>Table1[[#This Row],[LOAD K.M]]+Table1[[#This Row],[EMPTY K.M]]</f>
        <v>0</v>
      </c>
      <c r="Z3" s="16">
        <f>Table1[[#This Row],[INVOICE AMOUNT2]]-Table1[[#This Row],[Total Exp.]]</f>
        <v>34999</v>
      </c>
      <c r="AA3" s="12" t="e">
        <f>Table1[[#This Row],[Total Exp.]]/Table1[[#This Row],[Total k.m]]</f>
        <v>#DIV/0!</v>
      </c>
      <c r="AB3" s="17" t="e">
        <f>Table1[[#This Row],[Profit/loss]]/Table1[[#This Row],[Total k.m]]</f>
        <v>#DIV/0!</v>
      </c>
      <c r="AC3" s="17" t="e">
        <f>Table1[[#This Row],[INVOICE AMOUNT2]]/Table1[[#This Row],[Total k.m]]</f>
        <v>#DIV/0!</v>
      </c>
    </row>
    <row r="4" spans="1:29" x14ac:dyDescent="0.3">
      <c r="A4" s="18">
        <v>2</v>
      </c>
      <c r="B4" s="8" t="s">
        <v>33</v>
      </c>
      <c r="C4" s="9" t="s">
        <v>34</v>
      </c>
      <c r="D4" s="10">
        <v>45894</v>
      </c>
      <c r="E4" s="19">
        <v>45881</v>
      </c>
      <c r="F4" s="20" t="s">
        <v>35</v>
      </c>
      <c r="G4" s="20" t="s">
        <v>36</v>
      </c>
      <c r="H4" s="12" t="s">
        <v>37</v>
      </c>
      <c r="I4" s="14">
        <v>8</v>
      </c>
      <c r="J4" s="15">
        <v>204982</v>
      </c>
      <c r="K4" s="21">
        <v>82136</v>
      </c>
      <c r="L4" s="12">
        <v>26362</v>
      </c>
      <c r="M4" s="12">
        <v>6000</v>
      </c>
      <c r="N4" s="12"/>
      <c r="O4" s="12"/>
      <c r="P4" s="12">
        <v>2000</v>
      </c>
      <c r="Q4" s="12">
        <v>1000</v>
      </c>
      <c r="R4" s="12"/>
      <c r="S4" s="12"/>
      <c r="T4" s="12"/>
      <c r="U4" s="12">
        <v>2360</v>
      </c>
      <c r="V4" s="16">
        <f t="shared" ref="V4:V67" si="0">SUM(K4:U4)</f>
        <v>119858</v>
      </c>
      <c r="W4" s="12">
        <v>1773</v>
      </c>
      <c r="X4" s="12">
        <v>1260</v>
      </c>
      <c r="Y4" s="16">
        <f>Table1[[#This Row],[LOAD K.M]]+Table1[[#This Row],[EMPTY K.M]]</f>
        <v>3033</v>
      </c>
      <c r="Z4" s="16">
        <f>Table1[[#This Row],[INVOICE AMOUNT2]]-Table1[[#This Row],[Total Exp.]]</f>
        <v>85124</v>
      </c>
      <c r="AA4" s="12">
        <f>Table1[[#This Row],[Total Exp.]]/Table1[[#This Row],[Total k.m]]</f>
        <v>39.517969007583254</v>
      </c>
      <c r="AB4" s="17">
        <f>Table1[[#This Row],[Profit/loss]]/Table1[[#This Row],[Total k.m]]</f>
        <v>28.065941312232113</v>
      </c>
      <c r="AC4" s="12">
        <f>Table1[[#This Row],[INVOICE AMOUNT2]]/Table1[[#This Row],[Total k.m]]</f>
        <v>67.583910319815359</v>
      </c>
    </row>
    <row r="5" spans="1:29" x14ac:dyDescent="0.3">
      <c r="A5" s="7">
        <v>3</v>
      </c>
      <c r="B5" s="8" t="s">
        <v>38</v>
      </c>
      <c r="C5" s="9" t="s">
        <v>39</v>
      </c>
      <c r="D5" s="10">
        <v>45894</v>
      </c>
      <c r="E5" s="19">
        <v>45882</v>
      </c>
      <c r="F5" s="20" t="s">
        <v>35</v>
      </c>
      <c r="G5" s="20" t="s">
        <v>36</v>
      </c>
      <c r="H5" s="12" t="s">
        <v>40</v>
      </c>
      <c r="I5" s="14">
        <v>8</v>
      </c>
      <c r="J5" s="15">
        <v>99731</v>
      </c>
      <c r="K5" s="21">
        <v>37555</v>
      </c>
      <c r="L5" s="22">
        <v>9176</v>
      </c>
      <c r="M5" s="23">
        <v>4500</v>
      </c>
      <c r="N5" s="23"/>
      <c r="O5" s="23">
        <v>4965</v>
      </c>
      <c r="P5" s="23">
        <v>2000</v>
      </c>
      <c r="Q5" s="23">
        <v>1000</v>
      </c>
      <c r="R5" s="23"/>
      <c r="S5" s="23"/>
      <c r="T5" s="23"/>
      <c r="U5" s="23"/>
      <c r="V5" s="16">
        <f t="shared" si="0"/>
        <v>59196</v>
      </c>
      <c r="W5" s="23">
        <v>1250</v>
      </c>
      <c r="X5" s="23">
        <v>117</v>
      </c>
      <c r="Y5" s="16">
        <f>Table1[[#This Row],[LOAD K.M]]+Table1[[#This Row],[EMPTY K.M]]</f>
        <v>1367</v>
      </c>
      <c r="Z5" s="16">
        <f>Table1[[#This Row],[INVOICE AMOUNT2]]-Table1[[#This Row],[Total Exp.]]</f>
        <v>40535</v>
      </c>
      <c r="AA5" s="12">
        <f>Table1[[#This Row],[Total Exp.]]/Table1[[#This Row],[Total k.m]]</f>
        <v>43.303584491587415</v>
      </c>
      <c r="AB5" s="17">
        <f>Table1[[#This Row],[Profit/loss]]/Table1[[#This Row],[Total k.m]]</f>
        <v>29.652523774689101</v>
      </c>
      <c r="AC5" s="12">
        <f>Table1[[#This Row],[INVOICE AMOUNT2]]/Table1[[#This Row],[Total k.m]]</f>
        <v>72.956108266276516</v>
      </c>
    </row>
    <row r="6" spans="1:29" x14ac:dyDescent="0.3">
      <c r="A6" s="18">
        <v>4</v>
      </c>
      <c r="B6" s="8" t="s">
        <v>41</v>
      </c>
      <c r="C6" s="9" t="s">
        <v>29</v>
      </c>
      <c r="D6" s="10">
        <v>45894</v>
      </c>
      <c r="E6" s="19">
        <v>45883</v>
      </c>
      <c r="F6" s="20" t="s">
        <v>42</v>
      </c>
      <c r="G6" s="20" t="s">
        <v>43</v>
      </c>
      <c r="H6" s="12" t="s">
        <v>44</v>
      </c>
      <c r="I6" s="14">
        <v>6</v>
      </c>
      <c r="J6" s="15">
        <v>47362</v>
      </c>
      <c r="K6" s="12">
        <v>22040</v>
      </c>
      <c r="L6" s="12">
        <v>9906</v>
      </c>
      <c r="M6" s="12">
        <v>1500</v>
      </c>
      <c r="N6" s="12"/>
      <c r="O6" s="12"/>
      <c r="P6" s="12">
        <v>2000</v>
      </c>
      <c r="Q6" s="12">
        <v>1500</v>
      </c>
      <c r="R6" s="12"/>
      <c r="S6" s="12"/>
      <c r="T6" s="12"/>
      <c r="U6" s="12">
        <v>1320</v>
      </c>
      <c r="V6" s="16">
        <f t="shared" si="0"/>
        <v>38266</v>
      </c>
      <c r="W6" s="23">
        <v>487</v>
      </c>
      <c r="X6" s="23">
        <v>349</v>
      </c>
      <c r="Y6" s="16">
        <f>Table1[[#This Row],[LOAD K.M]]+Table1[[#This Row],[EMPTY K.M]]</f>
        <v>836</v>
      </c>
      <c r="Z6" s="16">
        <f>Table1[[#This Row],[INVOICE AMOUNT2]]-Table1[[#This Row],[Total Exp.]]</f>
        <v>9096</v>
      </c>
      <c r="AA6" s="12">
        <f>Table1[[#This Row],[Total Exp.]]/Table1[[#This Row],[Total k.m]]</f>
        <v>45.772727272727273</v>
      </c>
      <c r="AB6" s="17">
        <f>Table1[[#This Row],[Profit/loss]]/Table1[[#This Row],[Total k.m]]</f>
        <v>10.880382775119617</v>
      </c>
      <c r="AC6" s="12">
        <f>Table1[[#This Row],[INVOICE AMOUNT2]]/Table1[[#This Row],[Total k.m]]</f>
        <v>56.653110047846887</v>
      </c>
    </row>
    <row r="7" spans="1:29" x14ac:dyDescent="0.3">
      <c r="A7" s="7">
        <v>5</v>
      </c>
      <c r="B7" s="8" t="s">
        <v>45</v>
      </c>
      <c r="C7" s="9" t="s">
        <v>46</v>
      </c>
      <c r="D7" s="10">
        <v>45894</v>
      </c>
      <c r="E7" s="19">
        <v>45883</v>
      </c>
      <c r="F7" s="20" t="s">
        <v>42</v>
      </c>
      <c r="G7" s="20" t="s">
        <v>43</v>
      </c>
      <c r="H7" s="12" t="s">
        <v>36</v>
      </c>
      <c r="I7" s="14">
        <v>6</v>
      </c>
      <c r="J7" s="15">
        <v>49551</v>
      </c>
      <c r="K7" s="21">
        <v>26604</v>
      </c>
      <c r="L7" s="23">
        <v>9016</v>
      </c>
      <c r="M7" s="23">
        <v>1500</v>
      </c>
      <c r="N7" s="23"/>
      <c r="O7" s="23"/>
      <c r="P7" s="23">
        <v>2000</v>
      </c>
      <c r="Q7" s="23">
        <v>1000</v>
      </c>
      <c r="R7" s="23"/>
      <c r="S7" s="23"/>
      <c r="T7" s="23"/>
      <c r="U7" s="23"/>
      <c r="V7" s="16">
        <f t="shared" si="0"/>
        <v>40120</v>
      </c>
      <c r="W7" s="23">
        <v>796</v>
      </c>
      <c r="X7" s="23">
        <v>185</v>
      </c>
      <c r="Y7" s="16">
        <f>Table1[[#This Row],[LOAD K.M]]+Table1[[#This Row],[EMPTY K.M]]</f>
        <v>981</v>
      </c>
      <c r="Z7" s="16">
        <f>Table1[[#This Row],[INVOICE AMOUNT2]]-Table1[[#This Row],[Total Exp.]]</f>
        <v>9431</v>
      </c>
      <c r="AA7" s="12">
        <f>Table1[[#This Row],[Total Exp.]]/Table1[[#This Row],[Total k.m]]</f>
        <v>40.897043832823648</v>
      </c>
      <c r="AB7" s="17">
        <f>Table1[[#This Row],[Profit/loss]]/Table1[[#This Row],[Total k.m]]</f>
        <v>9.6136595310907236</v>
      </c>
      <c r="AC7" s="12">
        <f>Table1[[#This Row],[INVOICE AMOUNT2]]/Table1[[#This Row],[Total k.m]]</f>
        <v>50.510703363914374</v>
      </c>
    </row>
    <row r="8" spans="1:29" x14ac:dyDescent="0.3">
      <c r="A8" s="18">
        <v>6</v>
      </c>
      <c r="B8" s="8" t="s">
        <v>47</v>
      </c>
      <c r="C8" s="8" t="s">
        <v>48</v>
      </c>
      <c r="D8" s="10">
        <v>45894</v>
      </c>
      <c r="E8" s="19">
        <v>45883</v>
      </c>
      <c r="F8" s="20" t="s">
        <v>42</v>
      </c>
      <c r="G8" s="20" t="s">
        <v>43</v>
      </c>
      <c r="H8" s="12" t="s">
        <v>36</v>
      </c>
      <c r="I8" s="14">
        <v>6</v>
      </c>
      <c r="J8" s="15">
        <v>49551</v>
      </c>
      <c r="K8" s="12">
        <v>26604</v>
      </c>
      <c r="L8" s="12">
        <v>9016</v>
      </c>
      <c r="M8" s="12">
        <v>1500</v>
      </c>
      <c r="N8" s="12"/>
      <c r="O8" s="12"/>
      <c r="P8" s="12">
        <v>2000</v>
      </c>
      <c r="Q8" s="12">
        <v>1000</v>
      </c>
      <c r="R8" s="12"/>
      <c r="S8" s="12"/>
      <c r="T8" s="12"/>
      <c r="U8" s="12"/>
      <c r="V8" s="16">
        <f t="shared" si="0"/>
        <v>40120</v>
      </c>
      <c r="W8" s="12">
        <v>796</v>
      </c>
      <c r="X8" s="12">
        <v>185</v>
      </c>
      <c r="Y8" s="16">
        <f>Table1[[#This Row],[LOAD K.M]]+Table1[[#This Row],[EMPTY K.M]]</f>
        <v>981</v>
      </c>
      <c r="Z8" s="16">
        <f>Table1[[#This Row],[INVOICE AMOUNT2]]-Table1[[#This Row],[Total Exp.]]</f>
        <v>9431</v>
      </c>
      <c r="AA8" s="12">
        <f>Table1[[#This Row],[Total Exp.]]/Table1[[#This Row],[Total k.m]]</f>
        <v>40.897043832823648</v>
      </c>
      <c r="AB8" s="17">
        <f>Table1[[#This Row],[Profit/loss]]/Table1[[#This Row],[Total k.m]]</f>
        <v>9.6136595310907236</v>
      </c>
      <c r="AC8" s="12">
        <f>Table1[[#This Row],[INVOICE AMOUNT2]]/Table1[[#This Row],[Total k.m]]</f>
        <v>50.510703363914374</v>
      </c>
    </row>
    <row r="9" spans="1:29" x14ac:dyDescent="0.3">
      <c r="A9" s="7">
        <v>7</v>
      </c>
      <c r="B9" s="8" t="s">
        <v>49</v>
      </c>
      <c r="C9" s="8" t="s">
        <v>50</v>
      </c>
      <c r="D9" s="10">
        <v>45894</v>
      </c>
      <c r="E9" s="19">
        <v>45883</v>
      </c>
      <c r="F9" s="20" t="s">
        <v>42</v>
      </c>
      <c r="G9" s="20" t="s">
        <v>43</v>
      </c>
      <c r="H9" s="12" t="s">
        <v>44</v>
      </c>
      <c r="I9" s="14">
        <v>6</v>
      </c>
      <c r="J9" s="15">
        <v>47362</v>
      </c>
      <c r="K9" s="23">
        <v>22040</v>
      </c>
      <c r="L9" s="23">
        <v>9906</v>
      </c>
      <c r="M9" s="23">
        <v>1500</v>
      </c>
      <c r="N9" s="23"/>
      <c r="O9" s="23"/>
      <c r="P9" s="23">
        <v>2000</v>
      </c>
      <c r="Q9" s="23">
        <v>1500</v>
      </c>
      <c r="R9" s="23"/>
      <c r="S9" s="23"/>
      <c r="T9" s="23"/>
      <c r="U9" s="23">
        <v>1320</v>
      </c>
      <c r="V9" s="16">
        <f t="shared" si="0"/>
        <v>38266</v>
      </c>
      <c r="W9" s="23">
        <v>487</v>
      </c>
      <c r="X9" s="23">
        <v>349</v>
      </c>
      <c r="Y9" s="16">
        <f>Table1[[#This Row],[LOAD K.M]]+Table1[[#This Row],[EMPTY K.M]]</f>
        <v>836</v>
      </c>
      <c r="Z9" s="16">
        <f>Table1[[#This Row],[INVOICE AMOUNT2]]-Table1[[#This Row],[Total Exp.]]</f>
        <v>9096</v>
      </c>
      <c r="AA9" s="12">
        <f>Table1[[#This Row],[Total Exp.]]/Table1[[#This Row],[Total k.m]]</f>
        <v>45.772727272727273</v>
      </c>
      <c r="AB9" s="17">
        <f>Table1[[#This Row],[Profit/loss]]/Table1[[#This Row],[Total k.m]]</f>
        <v>10.880382775119617</v>
      </c>
      <c r="AC9" s="12">
        <f>Table1[[#This Row],[INVOICE AMOUNT2]]/Table1[[#This Row],[Total k.m]]</f>
        <v>56.653110047846887</v>
      </c>
    </row>
    <row r="10" spans="1:29" x14ac:dyDescent="0.3">
      <c r="A10" s="18">
        <v>8</v>
      </c>
      <c r="B10" s="8" t="s">
        <v>51</v>
      </c>
      <c r="C10" s="8" t="s">
        <v>52</v>
      </c>
      <c r="D10" s="10">
        <v>45894</v>
      </c>
      <c r="E10" s="19">
        <v>45883</v>
      </c>
      <c r="F10" s="20" t="s">
        <v>42</v>
      </c>
      <c r="G10" s="20" t="s">
        <v>43</v>
      </c>
      <c r="H10" s="12" t="s">
        <v>36</v>
      </c>
      <c r="I10" s="14">
        <v>6</v>
      </c>
      <c r="J10" s="15">
        <v>49551</v>
      </c>
      <c r="K10" s="21">
        <v>26174</v>
      </c>
      <c r="L10" s="12">
        <v>9016</v>
      </c>
      <c r="M10" s="12">
        <v>1500</v>
      </c>
      <c r="N10" s="12"/>
      <c r="O10" s="12"/>
      <c r="P10" s="12">
        <v>2000</v>
      </c>
      <c r="Q10" s="12">
        <v>1000</v>
      </c>
      <c r="R10" s="12"/>
      <c r="S10" s="12"/>
      <c r="T10" s="12"/>
      <c r="U10" s="12">
        <v>1000</v>
      </c>
      <c r="V10" s="16">
        <f t="shared" si="0"/>
        <v>40690</v>
      </c>
      <c r="W10" s="12">
        <v>795</v>
      </c>
      <c r="X10" s="12">
        <v>186</v>
      </c>
      <c r="Y10" s="16">
        <f>Table1[[#This Row],[LOAD K.M]]+Table1[[#This Row],[EMPTY K.M]]</f>
        <v>981</v>
      </c>
      <c r="Z10" s="16">
        <f>Table1[[#This Row],[INVOICE AMOUNT2]]-Table1[[#This Row],[Total Exp.]]</f>
        <v>8861</v>
      </c>
      <c r="AA10" s="12">
        <f>Table1[[#This Row],[Total Exp.]]/Table1[[#This Row],[Total k.m]]</f>
        <v>41.47808358817533</v>
      </c>
      <c r="AB10" s="17">
        <f>Table1[[#This Row],[Profit/loss]]/Table1[[#This Row],[Total k.m]]</f>
        <v>9.0326197757390414</v>
      </c>
      <c r="AC10" s="12">
        <f>Table1[[#This Row],[INVOICE AMOUNT2]]/Table1[[#This Row],[Total k.m]]</f>
        <v>50.510703363914374</v>
      </c>
    </row>
    <row r="11" spans="1:29" x14ac:dyDescent="0.3">
      <c r="A11" s="7">
        <v>9</v>
      </c>
      <c r="B11" s="8" t="s">
        <v>53</v>
      </c>
      <c r="C11" s="8" t="s">
        <v>54</v>
      </c>
      <c r="D11" s="10">
        <v>45894</v>
      </c>
      <c r="E11" s="19">
        <v>45883</v>
      </c>
      <c r="F11" s="20" t="s">
        <v>42</v>
      </c>
      <c r="G11" s="20" t="s">
        <v>43</v>
      </c>
      <c r="H11" s="12" t="s">
        <v>55</v>
      </c>
      <c r="I11" s="14">
        <v>6</v>
      </c>
      <c r="J11" s="15">
        <v>47124</v>
      </c>
      <c r="K11" s="23">
        <v>20262</v>
      </c>
      <c r="L11" s="23">
        <v>10075</v>
      </c>
      <c r="M11" s="23">
        <v>1500</v>
      </c>
      <c r="N11" s="23">
        <v>600</v>
      </c>
      <c r="O11" s="23"/>
      <c r="P11" s="23">
        <v>2000</v>
      </c>
      <c r="Q11" s="23">
        <v>1500</v>
      </c>
      <c r="R11" s="23"/>
      <c r="S11" s="23">
        <v>200</v>
      </c>
      <c r="T11" s="23"/>
      <c r="U11" s="23"/>
      <c r="V11" s="16">
        <f t="shared" si="0"/>
        <v>36137</v>
      </c>
      <c r="W11" s="23">
        <v>460</v>
      </c>
      <c r="X11" s="23">
        <v>317</v>
      </c>
      <c r="Y11" s="16">
        <f>Table1[[#This Row],[LOAD K.M]]+Table1[[#This Row],[EMPTY K.M]]</f>
        <v>777</v>
      </c>
      <c r="Z11" s="16">
        <f>Table1[[#This Row],[INVOICE AMOUNT2]]-Table1[[#This Row],[Total Exp.]]</f>
        <v>10987</v>
      </c>
      <c r="AA11" s="12">
        <f>Table1[[#This Row],[Total Exp.]]/Table1[[#This Row],[Total k.m]]</f>
        <v>46.508365508365507</v>
      </c>
      <c r="AB11" s="17">
        <f>Table1[[#This Row],[Profit/loss]]/Table1[[#This Row],[Total k.m]]</f>
        <v>14.14028314028314</v>
      </c>
      <c r="AC11" s="12">
        <f>Table1[[#This Row],[INVOICE AMOUNT2]]/Table1[[#This Row],[Total k.m]]</f>
        <v>60.648648648648646</v>
      </c>
    </row>
    <row r="12" spans="1:29" x14ac:dyDescent="0.3">
      <c r="A12" s="18">
        <v>10</v>
      </c>
      <c r="B12" s="8" t="s">
        <v>56</v>
      </c>
      <c r="C12" s="8" t="s">
        <v>57</v>
      </c>
      <c r="D12" s="10">
        <v>45894</v>
      </c>
      <c r="E12" s="19">
        <v>45883</v>
      </c>
      <c r="F12" s="20" t="s">
        <v>42</v>
      </c>
      <c r="G12" s="20" t="s">
        <v>43</v>
      </c>
      <c r="H12" s="12" t="s">
        <v>55</v>
      </c>
      <c r="I12" s="14">
        <v>6</v>
      </c>
      <c r="J12" s="15">
        <v>47124</v>
      </c>
      <c r="K12" s="21">
        <v>21227</v>
      </c>
      <c r="L12" s="12">
        <v>4603</v>
      </c>
      <c r="M12" s="12">
        <v>1500</v>
      </c>
      <c r="N12" s="12">
        <v>600</v>
      </c>
      <c r="O12" s="12"/>
      <c r="P12" s="12">
        <v>2000</v>
      </c>
      <c r="Q12" s="12">
        <v>1500</v>
      </c>
      <c r="R12" s="12"/>
      <c r="S12" s="12">
        <v>200</v>
      </c>
      <c r="T12" s="12"/>
      <c r="U12" s="12"/>
      <c r="V12" s="16">
        <f t="shared" si="0"/>
        <v>31630</v>
      </c>
      <c r="W12" s="12">
        <v>465</v>
      </c>
      <c r="X12" s="12">
        <v>340</v>
      </c>
      <c r="Y12" s="16">
        <f>Table1[[#This Row],[LOAD K.M]]+Table1[[#This Row],[EMPTY K.M]]</f>
        <v>805</v>
      </c>
      <c r="Z12" s="16">
        <f>Table1[[#This Row],[INVOICE AMOUNT2]]-Table1[[#This Row],[Total Exp.]]</f>
        <v>15494</v>
      </c>
      <c r="AA12" s="12">
        <f>Table1[[#This Row],[Total Exp.]]/Table1[[#This Row],[Total k.m]]</f>
        <v>39.29192546583851</v>
      </c>
      <c r="AB12" s="17">
        <f>Table1[[#This Row],[Profit/loss]]/Table1[[#This Row],[Total k.m]]</f>
        <v>19.2472049689441</v>
      </c>
      <c r="AC12" s="12">
        <f>Table1[[#This Row],[INVOICE AMOUNT2]]/Table1[[#This Row],[Total k.m]]</f>
        <v>58.539130434782606</v>
      </c>
    </row>
    <row r="13" spans="1:29" x14ac:dyDescent="0.3">
      <c r="A13" s="7">
        <v>11</v>
      </c>
      <c r="B13" s="8" t="s">
        <v>58</v>
      </c>
      <c r="C13" s="12" t="s">
        <v>59</v>
      </c>
      <c r="D13" s="10">
        <v>45894</v>
      </c>
      <c r="E13" s="24" t="s">
        <v>60</v>
      </c>
      <c r="F13" s="12" t="s">
        <v>35</v>
      </c>
      <c r="G13" s="12" t="s">
        <v>36</v>
      </c>
      <c r="H13" s="12" t="s">
        <v>61</v>
      </c>
      <c r="I13" s="14">
        <v>8</v>
      </c>
      <c r="J13" s="15">
        <v>102054</v>
      </c>
      <c r="K13" s="23">
        <v>38537</v>
      </c>
      <c r="L13" s="23">
        <v>11703</v>
      </c>
      <c r="M13" s="23">
        <v>4500</v>
      </c>
      <c r="N13" s="23"/>
      <c r="O13" s="23">
        <v>400</v>
      </c>
      <c r="P13" s="23">
        <v>2000</v>
      </c>
      <c r="Q13" s="23">
        <v>1000</v>
      </c>
      <c r="R13" s="23"/>
      <c r="S13" s="23"/>
      <c r="T13" s="23"/>
      <c r="U13" s="23">
        <v>1300</v>
      </c>
      <c r="V13" s="16">
        <f t="shared" si="0"/>
        <v>59440</v>
      </c>
      <c r="W13" s="23">
        <v>945</v>
      </c>
      <c r="X13" s="23">
        <v>497</v>
      </c>
      <c r="Y13" s="16">
        <f>Table1[[#This Row],[LOAD K.M]]+Table1[[#This Row],[EMPTY K.M]]</f>
        <v>1442</v>
      </c>
      <c r="Z13" s="16">
        <f>Table1[[#This Row],[INVOICE AMOUNT2]]-Table1[[#This Row],[Total Exp.]]</f>
        <v>42614</v>
      </c>
      <c r="AA13" s="12">
        <f>Table1[[#This Row],[Total Exp.]]/Table1[[#This Row],[Total k.m]]</f>
        <v>41.220527045769764</v>
      </c>
      <c r="AB13" s="17">
        <f>Table1[[#This Row],[Profit/loss]]/Table1[[#This Row],[Total k.m]]</f>
        <v>29.552011095700415</v>
      </c>
      <c r="AC13" s="12">
        <f>Table1[[#This Row],[INVOICE AMOUNT2]]/Table1[[#This Row],[Total k.m]]</f>
        <v>70.772538141470179</v>
      </c>
    </row>
    <row r="14" spans="1:29" x14ac:dyDescent="0.3">
      <c r="A14" s="7">
        <v>12</v>
      </c>
      <c r="B14" s="25" t="s">
        <v>62</v>
      </c>
      <c r="C14" s="13" t="s">
        <v>63</v>
      </c>
      <c r="D14" s="10">
        <v>45894</v>
      </c>
      <c r="E14" s="11" t="s">
        <v>64</v>
      </c>
      <c r="F14" s="13" t="s">
        <v>65</v>
      </c>
      <c r="G14" s="13" t="s">
        <v>66</v>
      </c>
      <c r="H14" s="13" t="s">
        <v>67</v>
      </c>
      <c r="I14" s="14">
        <v>8</v>
      </c>
      <c r="J14" s="14">
        <v>92344</v>
      </c>
      <c r="K14" s="13">
        <v>35741</v>
      </c>
      <c r="L14" s="13">
        <v>9813</v>
      </c>
      <c r="M14" s="13">
        <v>4500</v>
      </c>
      <c r="N14" s="13"/>
      <c r="O14" s="13"/>
      <c r="P14" s="13">
        <v>2000</v>
      </c>
      <c r="Q14" s="13">
        <v>1000</v>
      </c>
      <c r="R14" s="13">
        <v>1500</v>
      </c>
      <c r="S14" s="13"/>
      <c r="T14" s="13"/>
      <c r="U14" s="13">
        <v>1320</v>
      </c>
      <c r="V14" s="16">
        <f t="shared" si="0"/>
        <v>55874</v>
      </c>
      <c r="W14" s="13">
        <v>1291</v>
      </c>
      <c r="X14" s="13"/>
      <c r="Y14" s="16">
        <f>Table1[[#This Row],[LOAD K.M]]+Table1[[#This Row],[EMPTY K.M]]</f>
        <v>1291</v>
      </c>
      <c r="Z14" s="16">
        <f>Table1[[#This Row],[INVOICE AMOUNT2]]-Table1[[#This Row],[Total Exp.]]</f>
        <v>36470</v>
      </c>
      <c r="AA14" s="13">
        <f>Table1[[#This Row],[Total Exp.]]/Table1[[#This Row],[Total k.m]]</f>
        <v>43.279628195197525</v>
      </c>
      <c r="AB14" s="26">
        <f>Table1[[#This Row],[Profit/loss]]/Table1[[#This Row],[Total k.m]]</f>
        <v>28.249419054996128</v>
      </c>
      <c r="AC14" s="12">
        <f>Table1[[#This Row],[INVOICE AMOUNT2]]/Table1[[#This Row],[Total k.m]]</f>
        <v>71.529047250193642</v>
      </c>
    </row>
    <row r="15" spans="1:29" x14ac:dyDescent="0.3">
      <c r="A15" s="7">
        <v>13</v>
      </c>
      <c r="B15" s="8" t="s">
        <v>68</v>
      </c>
      <c r="C15" s="12" t="s">
        <v>69</v>
      </c>
      <c r="D15" s="10">
        <v>45894</v>
      </c>
      <c r="E15" s="24" t="s">
        <v>64</v>
      </c>
      <c r="F15" s="12" t="s">
        <v>35</v>
      </c>
      <c r="G15" s="12" t="s">
        <v>36</v>
      </c>
      <c r="H15" s="12" t="s">
        <v>70</v>
      </c>
      <c r="I15" s="14">
        <v>8</v>
      </c>
      <c r="J15" s="15">
        <v>149556</v>
      </c>
      <c r="K15" s="23">
        <v>61187</v>
      </c>
      <c r="L15" s="23">
        <v>18862</v>
      </c>
      <c r="M15" s="23">
        <v>4500</v>
      </c>
      <c r="N15" s="23"/>
      <c r="O15" s="23">
        <v>860</v>
      </c>
      <c r="P15" s="23">
        <v>2000</v>
      </c>
      <c r="Q15" s="23">
        <v>1000</v>
      </c>
      <c r="R15" s="23"/>
      <c r="S15" s="23">
        <v>600</v>
      </c>
      <c r="T15" s="23"/>
      <c r="U15" s="23">
        <v>1320</v>
      </c>
      <c r="V15" s="16">
        <f t="shared" si="0"/>
        <v>90329</v>
      </c>
      <c r="W15" s="23">
        <v>1327</v>
      </c>
      <c r="X15" s="23">
        <v>890</v>
      </c>
      <c r="Y15" s="16">
        <f>Table1[[#This Row],[LOAD K.M]]+Table1[[#This Row],[EMPTY K.M]]</f>
        <v>2217</v>
      </c>
      <c r="Z15" s="16">
        <f>Table1[[#This Row],[INVOICE AMOUNT2]]-Table1[[#This Row],[Total Exp.]]</f>
        <v>59227</v>
      </c>
      <c r="AA15" s="12">
        <f>Table1[[#This Row],[Total Exp.]]/Table1[[#This Row],[Total k.m]]</f>
        <v>40.743797925124042</v>
      </c>
      <c r="AB15" s="17">
        <f>Table1[[#This Row],[Profit/loss]]/Table1[[#This Row],[Total k.m]]</f>
        <v>26.714930085701397</v>
      </c>
      <c r="AC15" s="12">
        <f>Table1[[#This Row],[INVOICE AMOUNT2]]/Table1[[#This Row],[Total k.m]]</f>
        <v>67.458728010825439</v>
      </c>
    </row>
    <row r="16" spans="1:29" x14ac:dyDescent="0.3">
      <c r="A16" s="18">
        <v>14</v>
      </c>
      <c r="B16" s="8" t="s">
        <v>71</v>
      </c>
      <c r="C16" s="12" t="s">
        <v>72</v>
      </c>
      <c r="D16" s="10">
        <v>45894</v>
      </c>
      <c r="E16" s="24" t="s">
        <v>64</v>
      </c>
      <c r="F16" s="12" t="s">
        <v>35</v>
      </c>
      <c r="G16" s="12" t="s">
        <v>36</v>
      </c>
      <c r="H16" s="12" t="s">
        <v>73</v>
      </c>
      <c r="I16" s="14">
        <v>8</v>
      </c>
      <c r="J16" s="15">
        <v>146218</v>
      </c>
      <c r="K16" s="21">
        <v>58586</v>
      </c>
      <c r="L16" s="21">
        <v>18497.3</v>
      </c>
      <c r="M16" s="12">
        <v>4500</v>
      </c>
      <c r="N16" s="12"/>
      <c r="O16" s="12"/>
      <c r="P16" s="12">
        <v>2000</v>
      </c>
      <c r="Q16" s="12">
        <v>1000</v>
      </c>
      <c r="R16" s="12"/>
      <c r="S16" s="12">
        <v>900</v>
      </c>
      <c r="T16" s="12">
        <v>580</v>
      </c>
      <c r="U16" s="12">
        <v>2640</v>
      </c>
      <c r="V16" s="16">
        <f t="shared" si="0"/>
        <v>88703.3</v>
      </c>
      <c r="W16" s="12">
        <v>1308</v>
      </c>
      <c r="X16" s="12">
        <v>850</v>
      </c>
      <c r="Y16" s="16">
        <f>Table1[[#This Row],[LOAD K.M]]+Table1[[#This Row],[EMPTY K.M]]</f>
        <v>2158</v>
      </c>
      <c r="Z16" s="16">
        <f>Table1[[#This Row],[INVOICE AMOUNT2]]-Table1[[#This Row],[Total Exp.]]</f>
        <v>57514.7</v>
      </c>
      <c r="AA16" s="12">
        <f>Table1[[#This Row],[Total Exp.]]/Table1[[#This Row],[Total k.m]]</f>
        <v>41.104402224281742</v>
      </c>
      <c r="AB16" s="17">
        <f>Table1[[#This Row],[Profit/loss]]/Table1[[#This Row],[Total k.m]]</f>
        <v>26.651853568118629</v>
      </c>
      <c r="AC16" s="12">
        <f>Table1[[#This Row],[INVOICE AMOUNT2]]/Table1[[#This Row],[Total k.m]]</f>
        <v>67.756255792400367</v>
      </c>
    </row>
    <row r="17" spans="1:29" x14ac:dyDescent="0.3">
      <c r="A17" s="7">
        <v>15</v>
      </c>
      <c r="B17" s="8" t="s">
        <v>74</v>
      </c>
      <c r="C17" s="12" t="s">
        <v>75</v>
      </c>
      <c r="D17" s="10">
        <v>45894</v>
      </c>
      <c r="E17" s="24" t="s">
        <v>64</v>
      </c>
      <c r="F17" s="12" t="s">
        <v>65</v>
      </c>
      <c r="G17" s="12" t="s">
        <v>66</v>
      </c>
      <c r="H17" s="12" t="s">
        <v>32</v>
      </c>
      <c r="I17" s="14">
        <v>8</v>
      </c>
      <c r="J17" s="15">
        <v>145702</v>
      </c>
      <c r="K17" s="23">
        <v>58893</v>
      </c>
      <c r="L17" s="23">
        <v>17303</v>
      </c>
      <c r="M17" s="23">
        <v>5500</v>
      </c>
      <c r="N17" s="23"/>
      <c r="O17" s="23"/>
      <c r="P17" s="23">
        <v>2000</v>
      </c>
      <c r="Q17" s="23">
        <v>1000</v>
      </c>
      <c r="R17" s="23"/>
      <c r="S17" s="23"/>
      <c r="T17" s="23">
        <v>1500</v>
      </c>
      <c r="U17" s="23">
        <v>1320</v>
      </c>
      <c r="V17" s="16">
        <f t="shared" si="0"/>
        <v>87516</v>
      </c>
      <c r="W17" s="23">
        <v>1960</v>
      </c>
      <c r="X17" s="23">
        <v>181</v>
      </c>
      <c r="Y17" s="16">
        <f>Table1[[#This Row],[LOAD K.M]]+Table1[[#This Row],[EMPTY K.M]]</f>
        <v>2141</v>
      </c>
      <c r="Z17" s="16">
        <f>Table1[[#This Row],[INVOICE AMOUNT2]]-Table1[[#This Row],[Total Exp.]]</f>
        <v>58186</v>
      </c>
      <c r="AA17" s="12">
        <f>Table1[[#This Row],[Total Exp.]]/Table1[[#This Row],[Total k.m]]</f>
        <v>40.876226062587577</v>
      </c>
      <c r="AB17" s="17">
        <f>Table1[[#This Row],[Profit/loss]]/Table1[[#This Row],[Total k.m]]</f>
        <v>27.177020084072865</v>
      </c>
      <c r="AC17" s="12">
        <f>Table1[[#This Row],[INVOICE AMOUNT2]]/Table1[[#This Row],[Total k.m]]</f>
        <v>68.053246146660442</v>
      </c>
    </row>
    <row r="18" spans="1:29" x14ac:dyDescent="0.3">
      <c r="A18" s="18">
        <v>16</v>
      </c>
      <c r="B18" s="8" t="s">
        <v>76</v>
      </c>
      <c r="C18" s="12" t="s">
        <v>77</v>
      </c>
      <c r="D18" s="10">
        <v>45894</v>
      </c>
      <c r="E18" s="24" t="s">
        <v>64</v>
      </c>
      <c r="F18" s="12" t="s">
        <v>65</v>
      </c>
      <c r="G18" s="12" t="s">
        <v>66</v>
      </c>
      <c r="H18" s="12" t="s">
        <v>78</v>
      </c>
      <c r="I18" s="14">
        <v>8</v>
      </c>
      <c r="J18" s="15">
        <v>89650</v>
      </c>
      <c r="K18" s="27">
        <v>36535</v>
      </c>
      <c r="L18" s="27">
        <v>7965</v>
      </c>
      <c r="M18" s="12">
        <v>3500</v>
      </c>
      <c r="N18" s="12"/>
      <c r="O18" s="12">
        <v>370</v>
      </c>
      <c r="P18" s="12">
        <v>2000</v>
      </c>
      <c r="Q18" s="12">
        <v>1000</v>
      </c>
      <c r="R18" s="12">
        <v>1500</v>
      </c>
      <c r="S18" s="12"/>
      <c r="T18" s="12"/>
      <c r="U18" s="12">
        <v>1320</v>
      </c>
      <c r="V18" s="16">
        <f t="shared" si="0"/>
        <v>54190</v>
      </c>
      <c r="W18" s="12">
        <v>888</v>
      </c>
      <c r="X18" s="12">
        <v>462</v>
      </c>
      <c r="Y18" s="16">
        <f>Table1[[#This Row],[LOAD K.M]]+Table1[[#This Row],[EMPTY K.M]]</f>
        <v>1350</v>
      </c>
      <c r="Z18" s="16">
        <f>Table1[[#This Row],[INVOICE AMOUNT2]]-Table1[[#This Row],[Total Exp.]]</f>
        <v>35460</v>
      </c>
      <c r="AA18" s="12">
        <f>Table1[[#This Row],[Total Exp.]]/Table1[[#This Row],[Total k.m]]</f>
        <v>40.140740740740739</v>
      </c>
      <c r="AB18" s="17">
        <f>Table1[[#This Row],[Profit/loss]]/Table1[[#This Row],[Total k.m]]</f>
        <v>26.266666666666666</v>
      </c>
      <c r="AC18" s="12">
        <f>Table1[[#This Row],[INVOICE AMOUNT2]]/Table1[[#This Row],[Total k.m]]</f>
        <v>66.407407407407405</v>
      </c>
    </row>
    <row r="19" spans="1:29" x14ac:dyDescent="0.3">
      <c r="A19" s="7">
        <v>17</v>
      </c>
      <c r="B19" s="8" t="s">
        <v>79</v>
      </c>
      <c r="C19" s="13" t="s">
        <v>34</v>
      </c>
      <c r="D19" s="10">
        <v>45894</v>
      </c>
      <c r="E19" s="24" t="s">
        <v>80</v>
      </c>
      <c r="F19" s="12" t="s">
        <v>65</v>
      </c>
      <c r="G19" s="12" t="s">
        <v>66</v>
      </c>
      <c r="H19" s="12" t="s">
        <v>32</v>
      </c>
      <c r="I19" s="14">
        <v>8</v>
      </c>
      <c r="J19" s="15">
        <v>146172</v>
      </c>
      <c r="K19" s="21">
        <v>58306</v>
      </c>
      <c r="L19" s="23">
        <v>15981</v>
      </c>
      <c r="M19" s="23">
        <v>6000</v>
      </c>
      <c r="N19" s="23"/>
      <c r="O19" s="23"/>
      <c r="P19" s="23">
        <v>2000</v>
      </c>
      <c r="Q19" s="23">
        <v>1000</v>
      </c>
      <c r="R19" s="23"/>
      <c r="S19" s="23">
        <v>300</v>
      </c>
      <c r="T19" s="23"/>
      <c r="U19" s="23">
        <v>3320</v>
      </c>
      <c r="V19" s="16">
        <f t="shared" si="0"/>
        <v>86907</v>
      </c>
      <c r="W19" s="23">
        <v>1952</v>
      </c>
      <c r="X19" s="23">
        <v>163</v>
      </c>
      <c r="Y19" s="16">
        <f>Table1[[#This Row],[LOAD K.M]]+Table1[[#This Row],[EMPTY K.M]]</f>
        <v>2115</v>
      </c>
      <c r="Z19" s="16">
        <f>Table1[[#This Row],[INVOICE AMOUNT2]]-Table1[[#This Row],[Total Exp.]]</f>
        <v>59265</v>
      </c>
      <c r="AA19" s="12">
        <f>Table1[[#This Row],[Total Exp.]]/Table1[[#This Row],[Total k.m]]</f>
        <v>41.090780141843972</v>
      </c>
      <c r="AB19" s="17">
        <f>Table1[[#This Row],[Profit/loss]]/Table1[[#This Row],[Total k.m]]</f>
        <v>28.021276595744681</v>
      </c>
      <c r="AC19" s="12">
        <f>Table1[[#This Row],[INVOICE AMOUNT2]]/Table1[[#This Row],[Total k.m]]</f>
        <v>69.112056737588659</v>
      </c>
    </row>
    <row r="20" spans="1:29" x14ac:dyDescent="0.3">
      <c r="A20" s="18">
        <v>18</v>
      </c>
      <c r="B20" s="8" t="s">
        <v>81</v>
      </c>
      <c r="C20" s="12" t="s">
        <v>82</v>
      </c>
      <c r="D20" s="10">
        <v>45894</v>
      </c>
      <c r="E20" s="24" t="s">
        <v>80</v>
      </c>
      <c r="F20" s="12" t="s">
        <v>35</v>
      </c>
      <c r="G20" s="12" t="s">
        <v>36</v>
      </c>
      <c r="H20" s="12" t="s">
        <v>32</v>
      </c>
      <c r="I20" s="14">
        <v>8</v>
      </c>
      <c r="J20" s="15">
        <v>56455</v>
      </c>
      <c r="K20" s="21">
        <v>27817</v>
      </c>
      <c r="L20" s="22">
        <v>9442</v>
      </c>
      <c r="M20" s="12">
        <v>1500</v>
      </c>
      <c r="N20" s="12"/>
      <c r="O20" s="12"/>
      <c r="P20" s="12">
        <v>2000</v>
      </c>
      <c r="Q20" s="12">
        <v>1000</v>
      </c>
      <c r="R20" s="12"/>
      <c r="S20" s="12">
        <v>1000</v>
      </c>
      <c r="T20" s="12"/>
      <c r="U20" s="12"/>
      <c r="V20" s="16">
        <f t="shared" si="0"/>
        <v>42759</v>
      </c>
      <c r="W20" s="12">
        <v>872</v>
      </c>
      <c r="X20" s="12">
        <v>157</v>
      </c>
      <c r="Y20" s="16">
        <f>Table1[[#This Row],[LOAD K.M]]+Table1[[#This Row],[EMPTY K.M]]</f>
        <v>1029</v>
      </c>
      <c r="Z20" s="16">
        <f>Table1[[#This Row],[INVOICE AMOUNT2]]-Table1[[#This Row],[Total Exp.]]</f>
        <v>13696</v>
      </c>
      <c r="AA20" s="12">
        <f>Table1[[#This Row],[Total Exp.]]/Table1[[#This Row],[Total k.m]]</f>
        <v>41.55393586005831</v>
      </c>
      <c r="AB20" s="17">
        <f>Table1[[#This Row],[Profit/loss]]/Table1[[#This Row],[Total k.m]]</f>
        <v>13.310009718172983</v>
      </c>
      <c r="AC20" s="12">
        <f>Table1[[#This Row],[INVOICE AMOUNT2]]/Table1[[#This Row],[Total k.m]]</f>
        <v>54.863945578231295</v>
      </c>
    </row>
    <row r="21" spans="1:29" x14ac:dyDescent="0.3">
      <c r="A21" s="7">
        <v>19</v>
      </c>
      <c r="B21" s="8" t="s">
        <v>83</v>
      </c>
      <c r="C21" s="12" t="s">
        <v>84</v>
      </c>
      <c r="D21" s="10">
        <v>45894</v>
      </c>
      <c r="E21" s="24" t="s">
        <v>80</v>
      </c>
      <c r="F21" s="12" t="s">
        <v>35</v>
      </c>
      <c r="G21" s="12" t="s">
        <v>36</v>
      </c>
      <c r="H21" s="12" t="s">
        <v>85</v>
      </c>
      <c r="I21" s="14">
        <v>8</v>
      </c>
      <c r="J21" s="15">
        <v>80776</v>
      </c>
      <c r="K21" s="21">
        <v>33777</v>
      </c>
      <c r="L21" s="23">
        <v>7796</v>
      </c>
      <c r="M21" s="23">
        <v>4000</v>
      </c>
      <c r="N21" s="23"/>
      <c r="O21" s="23"/>
      <c r="P21" s="23">
        <v>2000</v>
      </c>
      <c r="Q21" s="23">
        <v>1000</v>
      </c>
      <c r="R21" s="23"/>
      <c r="S21" s="23"/>
      <c r="T21" s="23"/>
      <c r="U21" s="23">
        <v>1040</v>
      </c>
      <c r="V21" s="16">
        <f t="shared" si="0"/>
        <v>49613</v>
      </c>
      <c r="W21" s="23">
        <v>657</v>
      </c>
      <c r="X21" s="23">
        <v>616</v>
      </c>
      <c r="Y21" s="16">
        <f>Table1[[#This Row],[LOAD K.M]]+Table1[[#This Row],[EMPTY K.M]]</f>
        <v>1273</v>
      </c>
      <c r="Z21" s="16">
        <f>Table1[[#This Row],[INVOICE AMOUNT2]]-Table1[[#This Row],[Total Exp.]]</f>
        <v>31163</v>
      </c>
      <c r="AA21" s="12">
        <f>Table1[[#This Row],[Total Exp.]]/Table1[[#This Row],[Total k.m]]</f>
        <v>38.973291437549094</v>
      </c>
      <c r="AB21" s="17">
        <f>Table1[[#This Row],[Profit/loss]]/Table1[[#This Row],[Total k.m]]</f>
        <v>24.479968578161824</v>
      </c>
      <c r="AC21" s="12">
        <f>Table1[[#This Row],[INVOICE AMOUNT2]]/Table1[[#This Row],[Total k.m]]</f>
        <v>63.453260015710917</v>
      </c>
    </row>
    <row r="22" spans="1:29" x14ac:dyDescent="0.3">
      <c r="A22" s="18">
        <v>20</v>
      </c>
      <c r="B22" s="8" t="s">
        <v>86</v>
      </c>
      <c r="C22" s="12" t="s">
        <v>87</v>
      </c>
      <c r="D22" s="10">
        <v>45894</v>
      </c>
      <c r="E22" s="24" t="s">
        <v>80</v>
      </c>
      <c r="F22" s="12" t="s">
        <v>35</v>
      </c>
      <c r="G22" s="12" t="s">
        <v>36</v>
      </c>
      <c r="H22" s="12" t="s">
        <v>88</v>
      </c>
      <c r="I22" s="14">
        <v>8</v>
      </c>
      <c r="J22" s="15">
        <v>65096</v>
      </c>
      <c r="K22" s="12">
        <v>28626</v>
      </c>
      <c r="L22" s="12">
        <v>8644</v>
      </c>
      <c r="M22" s="12">
        <v>1500</v>
      </c>
      <c r="N22" s="12"/>
      <c r="O22" s="12"/>
      <c r="P22" s="12">
        <v>2000</v>
      </c>
      <c r="Q22" s="12">
        <v>1000</v>
      </c>
      <c r="R22" s="12"/>
      <c r="S22" s="12"/>
      <c r="T22" s="12"/>
      <c r="U22" s="12">
        <v>1320</v>
      </c>
      <c r="V22" s="16">
        <f t="shared" si="0"/>
        <v>43090</v>
      </c>
      <c r="W22" s="12">
        <v>865</v>
      </c>
      <c r="X22" s="12">
        <v>196</v>
      </c>
      <c r="Y22" s="16">
        <f>Table1[[#This Row],[LOAD K.M]]+Table1[[#This Row],[EMPTY K.M]]</f>
        <v>1061</v>
      </c>
      <c r="Z22" s="16">
        <f>Table1[[#This Row],[INVOICE AMOUNT2]]-Table1[[#This Row],[Total Exp.]]</f>
        <v>22006</v>
      </c>
      <c r="AA22" s="12">
        <f>Table1[[#This Row],[Total Exp.]]/Table1[[#This Row],[Total k.m]]</f>
        <v>40.612629594721959</v>
      </c>
      <c r="AB22" s="17">
        <f>Table1[[#This Row],[Profit/loss]]/Table1[[#This Row],[Total k.m]]</f>
        <v>20.740810556079172</v>
      </c>
      <c r="AC22" s="12">
        <f>Table1[[#This Row],[INVOICE AMOUNT2]]/Table1[[#This Row],[Total k.m]]</f>
        <v>61.353440150801134</v>
      </c>
    </row>
    <row r="23" spans="1:29" x14ac:dyDescent="0.3">
      <c r="A23" s="7">
        <v>21</v>
      </c>
      <c r="B23" s="8" t="s">
        <v>89</v>
      </c>
      <c r="C23" s="12" t="s">
        <v>59</v>
      </c>
      <c r="D23" s="10">
        <v>45894</v>
      </c>
      <c r="E23" s="24" t="s">
        <v>80</v>
      </c>
      <c r="F23" s="12" t="s">
        <v>65</v>
      </c>
      <c r="G23" s="12" t="s">
        <v>66</v>
      </c>
      <c r="H23" s="12" t="s">
        <v>32</v>
      </c>
      <c r="I23" s="14">
        <v>8</v>
      </c>
      <c r="J23" s="15">
        <v>154170</v>
      </c>
      <c r="K23" s="21">
        <v>58013</v>
      </c>
      <c r="L23" s="23">
        <v>18967</v>
      </c>
      <c r="M23" s="23">
        <v>6000</v>
      </c>
      <c r="N23" s="23"/>
      <c r="O23" s="23"/>
      <c r="P23" s="23">
        <v>2000</v>
      </c>
      <c r="Q23" s="23">
        <v>1000</v>
      </c>
      <c r="R23" s="23"/>
      <c r="S23" s="23">
        <v>450</v>
      </c>
      <c r="T23" s="23"/>
      <c r="U23" s="23">
        <v>1320</v>
      </c>
      <c r="V23" s="16">
        <f t="shared" si="0"/>
        <v>87750</v>
      </c>
      <c r="W23" s="23">
        <v>1960</v>
      </c>
      <c r="X23" s="23">
        <v>148</v>
      </c>
      <c r="Y23" s="16">
        <f>Table1[[#This Row],[LOAD K.M]]+Table1[[#This Row],[EMPTY K.M]]</f>
        <v>2108</v>
      </c>
      <c r="Z23" s="16">
        <f>Table1[[#This Row],[INVOICE AMOUNT2]]-Table1[[#This Row],[Total Exp.]]</f>
        <v>66420</v>
      </c>
      <c r="AA23" s="12">
        <f>Table1[[#This Row],[Total Exp.]]/Table1[[#This Row],[Total k.m]]</f>
        <v>41.627134724857683</v>
      </c>
      <c r="AB23" s="17">
        <f>Table1[[#This Row],[Profit/loss]]/Table1[[#This Row],[Total k.m]]</f>
        <v>31.508538899430739</v>
      </c>
      <c r="AC23" s="12">
        <f>Table1[[#This Row],[INVOICE AMOUNT2]]/Table1[[#This Row],[Total k.m]]</f>
        <v>73.13567362428843</v>
      </c>
    </row>
    <row r="24" spans="1:29" x14ac:dyDescent="0.3">
      <c r="A24" s="18">
        <v>22</v>
      </c>
      <c r="B24" s="8" t="s">
        <v>90</v>
      </c>
      <c r="C24" s="12" t="s">
        <v>29</v>
      </c>
      <c r="D24" s="10">
        <v>45894</v>
      </c>
      <c r="E24" s="24" t="s">
        <v>80</v>
      </c>
      <c r="F24" s="12" t="s">
        <v>35</v>
      </c>
      <c r="G24" s="12" t="s">
        <v>36</v>
      </c>
      <c r="H24" s="12" t="s">
        <v>91</v>
      </c>
      <c r="I24" s="14">
        <v>8</v>
      </c>
      <c r="J24" s="15">
        <v>98430</v>
      </c>
      <c r="K24" s="21">
        <v>40456</v>
      </c>
      <c r="L24" s="12">
        <v>12562</v>
      </c>
      <c r="M24" s="12">
        <v>3000</v>
      </c>
      <c r="N24" s="12"/>
      <c r="O24" s="12"/>
      <c r="P24" s="12">
        <v>2000</v>
      </c>
      <c r="Q24" s="12">
        <v>1000</v>
      </c>
      <c r="R24" s="12"/>
      <c r="S24" s="12">
        <v>1200</v>
      </c>
      <c r="T24" s="12"/>
      <c r="U24" s="12">
        <v>1000</v>
      </c>
      <c r="V24" s="16">
        <f t="shared" si="0"/>
        <v>61218</v>
      </c>
      <c r="W24" s="12">
        <v>894</v>
      </c>
      <c r="X24" s="12">
        <v>617</v>
      </c>
      <c r="Y24" s="16">
        <f>Table1[[#This Row],[LOAD K.M]]+Table1[[#This Row],[EMPTY K.M]]</f>
        <v>1511</v>
      </c>
      <c r="Z24" s="16">
        <f>Table1[[#This Row],[INVOICE AMOUNT2]]-Table1[[#This Row],[Total Exp.]]</f>
        <v>37212</v>
      </c>
      <c r="AA24" s="12">
        <f>Table1[[#This Row],[Total Exp.]]/Table1[[#This Row],[Total k.m]]</f>
        <v>40.514890800794177</v>
      </c>
      <c r="AB24" s="17">
        <f>Table1[[#This Row],[Profit/loss]]/Table1[[#This Row],[Total k.m]]</f>
        <v>24.627399073461284</v>
      </c>
      <c r="AC24" s="12">
        <f>Table1[[#This Row],[INVOICE AMOUNT2]]/Table1[[#This Row],[Total k.m]]</f>
        <v>65.142289874255454</v>
      </c>
    </row>
    <row r="25" spans="1:29" x14ac:dyDescent="0.3">
      <c r="A25" s="7">
        <v>23</v>
      </c>
      <c r="B25" s="8" t="s">
        <v>92</v>
      </c>
      <c r="C25" s="12" t="s">
        <v>93</v>
      </c>
      <c r="D25" s="10">
        <v>45894</v>
      </c>
      <c r="E25" s="24" t="s">
        <v>80</v>
      </c>
      <c r="F25" s="12" t="s">
        <v>65</v>
      </c>
      <c r="G25" s="12" t="s">
        <v>66</v>
      </c>
      <c r="H25" s="12" t="s">
        <v>36</v>
      </c>
      <c r="I25" s="14">
        <v>8</v>
      </c>
      <c r="J25" s="15">
        <v>94350</v>
      </c>
      <c r="K25" s="21">
        <v>35509</v>
      </c>
      <c r="L25" s="23">
        <v>10173</v>
      </c>
      <c r="M25" s="23">
        <v>4500</v>
      </c>
      <c r="N25" s="23"/>
      <c r="O25" s="23"/>
      <c r="P25" s="23">
        <v>2000</v>
      </c>
      <c r="Q25" s="23">
        <v>1000</v>
      </c>
      <c r="R25" s="23"/>
      <c r="S25" s="23">
        <v>550</v>
      </c>
      <c r="T25" s="23">
        <v>1500</v>
      </c>
      <c r="U25" s="23">
        <v>1320</v>
      </c>
      <c r="V25" s="16">
        <f t="shared" si="0"/>
        <v>56552</v>
      </c>
      <c r="W25" s="23">
        <v>1223</v>
      </c>
      <c r="X25" s="23">
        <v>62</v>
      </c>
      <c r="Y25" s="16">
        <f>Table1[[#This Row],[LOAD K.M]]+Table1[[#This Row],[EMPTY K.M]]</f>
        <v>1285</v>
      </c>
      <c r="Z25" s="16">
        <f>Table1[[#This Row],[INVOICE AMOUNT2]]-Table1[[#This Row],[Total Exp.]]</f>
        <v>37798</v>
      </c>
      <c r="AA25" s="12">
        <f>Table1[[#This Row],[Total Exp.]]/Table1[[#This Row],[Total k.m]]</f>
        <v>44.009338521400778</v>
      </c>
      <c r="AB25" s="17">
        <f>Table1[[#This Row],[Profit/loss]]/Table1[[#This Row],[Total k.m]]</f>
        <v>29.414785992217897</v>
      </c>
      <c r="AC25" s="12">
        <f>Table1[[#This Row],[INVOICE AMOUNT2]]/Table1[[#This Row],[Total k.m]]</f>
        <v>73.424124513618679</v>
      </c>
    </row>
    <row r="26" spans="1:29" x14ac:dyDescent="0.3">
      <c r="A26" s="18">
        <v>24</v>
      </c>
      <c r="B26" s="8" t="s">
        <v>94</v>
      </c>
      <c r="C26" s="12" t="s">
        <v>95</v>
      </c>
      <c r="D26" s="10">
        <v>45894</v>
      </c>
      <c r="E26" s="24" t="s">
        <v>80</v>
      </c>
      <c r="F26" s="12" t="s">
        <v>65</v>
      </c>
      <c r="G26" s="12" t="s">
        <v>66</v>
      </c>
      <c r="H26" s="12" t="s">
        <v>96</v>
      </c>
      <c r="I26" s="14">
        <v>8</v>
      </c>
      <c r="J26" s="15">
        <v>140797</v>
      </c>
      <c r="K26" s="21">
        <v>54123</v>
      </c>
      <c r="L26" s="12">
        <v>17776</v>
      </c>
      <c r="M26" s="12">
        <v>6000</v>
      </c>
      <c r="N26" s="12"/>
      <c r="O26" s="12"/>
      <c r="P26" s="12">
        <v>2000</v>
      </c>
      <c r="Q26" s="12">
        <v>1000</v>
      </c>
      <c r="R26" s="12"/>
      <c r="S26" s="12">
        <v>150</v>
      </c>
      <c r="T26" s="12"/>
      <c r="U26" s="12">
        <v>2440</v>
      </c>
      <c r="V26" s="16">
        <f t="shared" si="0"/>
        <v>83489</v>
      </c>
      <c r="W26" s="12">
        <v>1718</v>
      </c>
      <c r="X26" s="12">
        <v>262</v>
      </c>
      <c r="Y26" s="16">
        <f>Table1[[#This Row],[LOAD K.M]]+Table1[[#This Row],[EMPTY K.M]]</f>
        <v>1980</v>
      </c>
      <c r="Z26" s="16">
        <f>Table1[[#This Row],[INVOICE AMOUNT2]]-Table1[[#This Row],[Total Exp.]]</f>
        <v>57308</v>
      </c>
      <c r="AA26" s="12">
        <f>Table1[[#This Row],[Total Exp.]]/Table1[[#This Row],[Total k.m]]</f>
        <v>42.166161616161617</v>
      </c>
      <c r="AB26" s="17">
        <f>Table1[[#This Row],[Profit/loss]]/Table1[[#This Row],[Total k.m]]</f>
        <v>28.943434343434344</v>
      </c>
      <c r="AC26" s="12">
        <f>Table1[[#This Row],[INVOICE AMOUNT2]]/Table1[[#This Row],[Total k.m]]</f>
        <v>71.109595959595964</v>
      </c>
    </row>
    <row r="27" spans="1:29" x14ac:dyDescent="0.3">
      <c r="A27" s="7">
        <v>25</v>
      </c>
      <c r="B27" s="8" t="s">
        <v>97</v>
      </c>
      <c r="C27" s="12" t="s">
        <v>98</v>
      </c>
      <c r="D27" s="10">
        <v>45894</v>
      </c>
      <c r="E27" s="24" t="s">
        <v>80</v>
      </c>
      <c r="F27" s="12" t="s">
        <v>35</v>
      </c>
      <c r="G27" s="12" t="s">
        <v>99</v>
      </c>
      <c r="H27" s="12" t="s">
        <v>100</v>
      </c>
      <c r="I27" s="14">
        <v>8</v>
      </c>
      <c r="J27" s="15">
        <v>58384</v>
      </c>
      <c r="K27" s="23"/>
      <c r="L27" s="23">
        <v>13450</v>
      </c>
      <c r="M27" s="23"/>
      <c r="N27" s="23"/>
      <c r="O27" s="23"/>
      <c r="P27" s="23">
        <v>2000</v>
      </c>
      <c r="Q27" s="23">
        <v>1000</v>
      </c>
      <c r="R27" s="23"/>
      <c r="S27" s="23"/>
      <c r="T27" s="23"/>
      <c r="U27" s="23">
        <v>2640</v>
      </c>
      <c r="V27" s="16">
        <f t="shared" si="0"/>
        <v>19090</v>
      </c>
      <c r="W27" s="23">
        <v>584</v>
      </c>
      <c r="X27" s="23">
        <v>372</v>
      </c>
      <c r="Y27" s="16">
        <f>Table1[[#This Row],[LOAD K.M]]+Table1[[#This Row],[EMPTY K.M]]</f>
        <v>956</v>
      </c>
      <c r="Z27" s="16">
        <f>Table1[[#This Row],[INVOICE AMOUNT2]]-Table1[[#This Row],[Total Exp.]]</f>
        <v>39294</v>
      </c>
      <c r="AA27" s="12">
        <f>Table1[[#This Row],[Total Exp.]]/Table1[[#This Row],[Total k.m]]</f>
        <v>19.968619246861923</v>
      </c>
      <c r="AB27" s="17">
        <f>Table1[[#This Row],[Profit/loss]]/Table1[[#This Row],[Total k.m]]</f>
        <v>41.102510460251047</v>
      </c>
      <c r="AC27" s="12">
        <f>Table1[[#This Row],[INVOICE AMOUNT2]]/Table1[[#This Row],[Total k.m]]</f>
        <v>61.071129707112974</v>
      </c>
    </row>
    <row r="28" spans="1:29" x14ac:dyDescent="0.3">
      <c r="A28" s="7">
        <v>25</v>
      </c>
      <c r="B28" s="8" t="s">
        <v>101</v>
      </c>
      <c r="C28" s="12" t="s">
        <v>102</v>
      </c>
      <c r="D28" s="10">
        <v>45894</v>
      </c>
      <c r="E28" s="24" t="s">
        <v>80</v>
      </c>
      <c r="F28" s="12" t="s">
        <v>35</v>
      </c>
      <c r="G28" s="12" t="s">
        <v>36</v>
      </c>
      <c r="H28" s="12" t="s">
        <v>103</v>
      </c>
      <c r="I28" s="14">
        <v>8</v>
      </c>
      <c r="J28" s="15">
        <v>90112</v>
      </c>
      <c r="K28" s="21">
        <v>40660</v>
      </c>
      <c r="L28" s="12">
        <v>12633</v>
      </c>
      <c r="M28" s="12">
        <v>6000</v>
      </c>
      <c r="N28" s="12"/>
      <c r="O28" s="12">
        <v>400</v>
      </c>
      <c r="P28" s="12">
        <v>2000</v>
      </c>
      <c r="Q28" s="12">
        <v>1000</v>
      </c>
      <c r="R28" s="12"/>
      <c r="S28" s="12">
        <v>1050</v>
      </c>
      <c r="T28" s="12">
        <v>1000</v>
      </c>
      <c r="U28" s="12">
        <v>1320</v>
      </c>
      <c r="V28" s="16">
        <f t="shared" si="0"/>
        <v>66063</v>
      </c>
      <c r="W28" s="12">
        <v>1181</v>
      </c>
      <c r="X28" s="12">
        <v>325</v>
      </c>
      <c r="Y28" s="16">
        <f>Table1[[#This Row],[LOAD K.M]]+Table1[[#This Row],[EMPTY K.M]]</f>
        <v>1506</v>
      </c>
      <c r="Z28" s="16">
        <f>Table1[[#This Row],[INVOICE AMOUNT2]]-Table1[[#This Row],[Total Exp.]]</f>
        <v>24049</v>
      </c>
      <c r="AA28" s="12">
        <f>Table1[[#This Row],[Total Exp.]]/Table1[[#This Row],[Total k.m]]</f>
        <v>43.866533864541836</v>
      </c>
      <c r="AB28" s="17">
        <f>Table1[[#This Row],[Profit/loss]]/Table1[[#This Row],[Total k.m]]</f>
        <v>15.968791500664011</v>
      </c>
      <c r="AC28" s="12">
        <f>Table1[[#This Row],[INVOICE AMOUNT2]]/Table1[[#This Row],[Total k.m]]</f>
        <v>59.83532536520584</v>
      </c>
    </row>
    <row r="29" spans="1:29" x14ac:dyDescent="0.3">
      <c r="A29" s="7">
        <v>27</v>
      </c>
      <c r="B29" s="8" t="s">
        <v>104</v>
      </c>
      <c r="C29" s="12" t="s">
        <v>105</v>
      </c>
      <c r="D29" s="10">
        <v>45894</v>
      </c>
      <c r="E29" s="24" t="s">
        <v>106</v>
      </c>
      <c r="F29" s="12" t="s">
        <v>35</v>
      </c>
      <c r="G29" s="12" t="s">
        <v>36</v>
      </c>
      <c r="H29" s="12" t="s">
        <v>107</v>
      </c>
      <c r="I29" s="14">
        <v>8</v>
      </c>
      <c r="J29" s="15">
        <v>121418</v>
      </c>
      <c r="K29" s="21">
        <v>46314</v>
      </c>
      <c r="L29" s="21">
        <v>14208.3</v>
      </c>
      <c r="M29" s="23">
        <v>4500</v>
      </c>
      <c r="N29" s="23"/>
      <c r="O29" s="23"/>
      <c r="P29" s="23">
        <v>2000</v>
      </c>
      <c r="Q29" s="23">
        <v>1000</v>
      </c>
      <c r="R29" s="23"/>
      <c r="S29" s="23"/>
      <c r="T29" s="23">
        <v>900</v>
      </c>
      <c r="U29" s="23">
        <v>2640</v>
      </c>
      <c r="V29" s="16">
        <f t="shared" si="0"/>
        <v>71562.3</v>
      </c>
      <c r="W29" s="23">
        <v>1342</v>
      </c>
      <c r="X29" s="23">
        <v>361</v>
      </c>
      <c r="Y29" s="16">
        <f>Table1[[#This Row],[LOAD K.M]]+Table1[[#This Row],[EMPTY K.M]]</f>
        <v>1703</v>
      </c>
      <c r="Z29" s="16">
        <f>Table1[[#This Row],[INVOICE AMOUNT2]]-Table1[[#This Row],[Total Exp.]]</f>
        <v>49855.7</v>
      </c>
      <c r="AA29" s="12">
        <f>Table1[[#This Row],[Total Exp.]]/Table1[[#This Row],[Total k.m]]</f>
        <v>42.021315325895479</v>
      </c>
      <c r="AB29" s="17">
        <f>Table1[[#This Row],[Profit/loss]]/Table1[[#This Row],[Total k.m]]</f>
        <v>29.275220199647681</v>
      </c>
      <c r="AC29" s="12">
        <f>Table1[[#This Row],[INVOICE AMOUNT2]]/Table1[[#This Row],[Total k.m]]</f>
        <v>71.296535525543163</v>
      </c>
    </row>
    <row r="30" spans="1:29" x14ac:dyDescent="0.3">
      <c r="A30" s="18">
        <v>28</v>
      </c>
      <c r="B30" s="8" t="s">
        <v>108</v>
      </c>
      <c r="C30" s="12" t="s">
        <v>109</v>
      </c>
      <c r="D30" s="10">
        <v>45894</v>
      </c>
      <c r="E30" s="24" t="s">
        <v>106</v>
      </c>
      <c r="F30" s="12" t="s">
        <v>35</v>
      </c>
      <c r="G30" s="12" t="s">
        <v>36</v>
      </c>
      <c r="H30" s="12" t="s">
        <v>70</v>
      </c>
      <c r="I30" s="14">
        <v>8</v>
      </c>
      <c r="J30" s="15">
        <v>139414</v>
      </c>
      <c r="K30" s="21">
        <v>58434</v>
      </c>
      <c r="L30" s="12">
        <v>15037</v>
      </c>
      <c r="M30" s="12">
        <v>4500</v>
      </c>
      <c r="N30" s="12"/>
      <c r="O30" s="12">
        <v>1181</v>
      </c>
      <c r="P30" s="12">
        <v>2000</v>
      </c>
      <c r="Q30" s="12">
        <v>1000</v>
      </c>
      <c r="R30" s="12"/>
      <c r="S30" s="12"/>
      <c r="T30" s="12"/>
      <c r="U30" s="12">
        <v>1320</v>
      </c>
      <c r="V30" s="16">
        <f t="shared" si="0"/>
        <v>83472</v>
      </c>
      <c r="W30" s="12">
        <v>1328</v>
      </c>
      <c r="X30" s="12">
        <v>829</v>
      </c>
      <c r="Y30" s="16">
        <f>Table1[[#This Row],[LOAD K.M]]+Table1[[#This Row],[EMPTY K.M]]</f>
        <v>2157</v>
      </c>
      <c r="Z30" s="16">
        <f>Table1[[#This Row],[INVOICE AMOUNT2]]-Table1[[#This Row],[Total Exp.]]</f>
        <v>55942</v>
      </c>
      <c r="AA30" s="12">
        <f>Table1[[#This Row],[Total Exp.]]/Table1[[#This Row],[Total k.m]]</f>
        <v>38.698191933240615</v>
      </c>
      <c r="AB30" s="17">
        <f>Table1[[#This Row],[Profit/loss]]/Table1[[#This Row],[Total k.m]]</f>
        <v>25.935095039406583</v>
      </c>
      <c r="AC30" s="12">
        <f>Table1[[#This Row],[INVOICE AMOUNT2]]/Table1[[#This Row],[Total k.m]]</f>
        <v>64.633286972647198</v>
      </c>
    </row>
    <row r="31" spans="1:29" x14ac:dyDescent="0.3">
      <c r="A31" s="7">
        <v>29</v>
      </c>
      <c r="B31" s="8" t="s">
        <v>110</v>
      </c>
      <c r="C31" s="12" t="s">
        <v>46</v>
      </c>
      <c r="D31" s="10">
        <v>45894</v>
      </c>
      <c r="E31" s="24" t="s">
        <v>106</v>
      </c>
      <c r="F31" s="12" t="s">
        <v>35</v>
      </c>
      <c r="G31" s="12" t="s">
        <v>36</v>
      </c>
      <c r="H31" s="12" t="s">
        <v>111</v>
      </c>
      <c r="I31" s="14">
        <v>8</v>
      </c>
      <c r="J31" s="15">
        <v>96630</v>
      </c>
      <c r="K31" s="21">
        <v>37410</v>
      </c>
      <c r="L31" s="23">
        <v>10571</v>
      </c>
      <c r="M31" s="23">
        <v>4500</v>
      </c>
      <c r="N31" s="23"/>
      <c r="O31" s="23"/>
      <c r="P31" s="23">
        <v>2000</v>
      </c>
      <c r="Q31" s="23">
        <v>1000</v>
      </c>
      <c r="R31" s="23"/>
      <c r="S31" s="23"/>
      <c r="T31" s="23"/>
      <c r="U31" s="23">
        <v>1300</v>
      </c>
      <c r="V31" s="16">
        <f t="shared" si="0"/>
        <v>56781</v>
      </c>
      <c r="W31" s="23">
        <v>1226</v>
      </c>
      <c r="X31" s="23">
        <v>138</v>
      </c>
      <c r="Y31" s="16">
        <f>Table1[[#This Row],[LOAD K.M]]+Table1[[#This Row],[EMPTY K.M]]</f>
        <v>1364</v>
      </c>
      <c r="Z31" s="16">
        <f>Table1[[#This Row],[INVOICE AMOUNT2]]-Table1[[#This Row],[Total Exp.]]</f>
        <v>39849</v>
      </c>
      <c r="AA31" s="12">
        <f>Table1[[#This Row],[Total Exp.]]/Table1[[#This Row],[Total k.m]]</f>
        <v>41.628299120234601</v>
      </c>
      <c r="AB31" s="17">
        <f>Table1[[#This Row],[Profit/loss]]/Table1[[#This Row],[Total k.m]]</f>
        <v>29.214809384164223</v>
      </c>
      <c r="AC31" s="12">
        <f>Table1[[#This Row],[INVOICE AMOUNT2]]/Table1[[#This Row],[Total k.m]]</f>
        <v>70.843108504398828</v>
      </c>
    </row>
    <row r="32" spans="1:29" x14ac:dyDescent="0.3">
      <c r="A32" s="18">
        <v>30</v>
      </c>
      <c r="B32" s="8" t="s">
        <v>112</v>
      </c>
      <c r="C32" s="12" t="s">
        <v>77</v>
      </c>
      <c r="D32" s="10">
        <v>45894</v>
      </c>
      <c r="E32" s="24" t="s">
        <v>106</v>
      </c>
      <c r="F32" s="12" t="s">
        <v>113</v>
      </c>
      <c r="G32" s="12" t="s">
        <v>114</v>
      </c>
      <c r="H32" s="12" t="s">
        <v>115</v>
      </c>
      <c r="I32" s="14">
        <v>6</v>
      </c>
      <c r="J32" s="15">
        <v>46836</v>
      </c>
      <c r="K32" s="27">
        <v>17590</v>
      </c>
      <c r="L32" s="27">
        <v>9265</v>
      </c>
      <c r="M32" s="12">
        <v>5000</v>
      </c>
      <c r="N32" s="12"/>
      <c r="O32" s="12"/>
      <c r="P32" s="12">
        <v>2000</v>
      </c>
      <c r="Q32" s="12">
        <v>1000</v>
      </c>
      <c r="R32" s="12"/>
      <c r="S32" s="12">
        <v>170</v>
      </c>
      <c r="T32" s="12"/>
      <c r="U32" s="12"/>
      <c r="V32" s="16">
        <f t="shared" si="0"/>
        <v>35025</v>
      </c>
      <c r="W32" s="12">
        <v>596</v>
      </c>
      <c r="X32" s="12">
        <v>48</v>
      </c>
      <c r="Y32" s="16">
        <f>Table1[[#This Row],[LOAD K.M]]+Table1[[#This Row],[EMPTY K.M]]</f>
        <v>644</v>
      </c>
      <c r="Z32" s="16">
        <f>Table1[[#This Row],[INVOICE AMOUNT2]]-Table1[[#This Row],[Total Exp.]]</f>
        <v>11811</v>
      </c>
      <c r="AA32" s="12">
        <f>Table1[[#This Row],[Total Exp.]]/Table1[[#This Row],[Total k.m]]</f>
        <v>54.386645962732921</v>
      </c>
      <c r="AB32" s="17">
        <f>Table1[[#This Row],[Profit/loss]]/Table1[[#This Row],[Total k.m]]</f>
        <v>18.340062111801242</v>
      </c>
      <c r="AC32" s="12">
        <f>Table1[[#This Row],[INVOICE AMOUNT2]]/Table1[[#This Row],[Total k.m]]</f>
        <v>72.726708074534159</v>
      </c>
    </row>
    <row r="33" spans="1:29" x14ac:dyDescent="0.3">
      <c r="A33" s="7">
        <v>31</v>
      </c>
      <c r="B33" s="8" t="s">
        <v>116</v>
      </c>
      <c r="C33" s="12" t="s">
        <v>98</v>
      </c>
      <c r="D33" s="10">
        <v>45894</v>
      </c>
      <c r="E33" s="24" t="s">
        <v>106</v>
      </c>
      <c r="F33" s="12" t="s">
        <v>30</v>
      </c>
      <c r="G33" s="12" t="s">
        <v>31</v>
      </c>
      <c r="H33" s="12" t="s">
        <v>117</v>
      </c>
      <c r="I33" s="14">
        <v>6</v>
      </c>
      <c r="J33" s="15">
        <v>65000</v>
      </c>
      <c r="K33" s="23">
        <v>44894</v>
      </c>
      <c r="L33" s="23">
        <v>7216</v>
      </c>
      <c r="M33" s="23">
        <v>3000</v>
      </c>
      <c r="N33" s="23"/>
      <c r="O33" s="23"/>
      <c r="P33" s="23">
        <v>1500</v>
      </c>
      <c r="Q33" s="23">
        <v>1000</v>
      </c>
      <c r="R33" s="23"/>
      <c r="S33" s="23"/>
      <c r="T33" s="23"/>
      <c r="U33" s="23"/>
      <c r="V33" s="16">
        <f t="shared" si="0"/>
        <v>57610</v>
      </c>
      <c r="W33" s="23">
        <v>1170</v>
      </c>
      <c r="X33" s="23">
        <v>552</v>
      </c>
      <c r="Y33" s="16">
        <f>Table1[[#This Row],[LOAD K.M]]+Table1[[#This Row],[EMPTY K.M]]</f>
        <v>1722</v>
      </c>
      <c r="Z33" s="16">
        <f>Table1[[#This Row],[INVOICE AMOUNT2]]-Table1[[#This Row],[Total Exp.]]</f>
        <v>7390</v>
      </c>
      <c r="AA33" s="12">
        <f>Table1[[#This Row],[Total Exp.]]/Table1[[#This Row],[Total k.m]]</f>
        <v>33.455284552845526</v>
      </c>
      <c r="AB33" s="17">
        <f>Table1[[#This Row],[Profit/loss]]/Table1[[#This Row],[Total k.m]]</f>
        <v>4.2915214866434379</v>
      </c>
      <c r="AC33" s="12">
        <f>Table1[[#This Row],[INVOICE AMOUNT2]]/Table1[[#This Row],[Total k.m]]</f>
        <v>37.746806039488966</v>
      </c>
    </row>
    <row r="34" spans="1:29" x14ac:dyDescent="0.3">
      <c r="A34" s="18">
        <v>32</v>
      </c>
      <c r="B34" s="8" t="s">
        <v>118</v>
      </c>
      <c r="C34" s="12" t="s">
        <v>72</v>
      </c>
      <c r="D34" s="10">
        <v>45894</v>
      </c>
      <c r="E34" s="24" t="s">
        <v>106</v>
      </c>
      <c r="F34" s="12" t="s">
        <v>65</v>
      </c>
      <c r="G34" s="12" t="s">
        <v>66</v>
      </c>
      <c r="H34" s="12" t="s">
        <v>115</v>
      </c>
      <c r="I34" s="14">
        <v>7</v>
      </c>
      <c r="J34" s="15">
        <v>8867</v>
      </c>
      <c r="K34" s="12">
        <v>5500</v>
      </c>
      <c r="L34" s="12">
        <v>1</v>
      </c>
      <c r="M34" s="12"/>
      <c r="N34" s="12"/>
      <c r="O34" s="12"/>
      <c r="P34" s="12"/>
      <c r="Q34" s="12"/>
      <c r="R34" s="12"/>
      <c r="S34" s="12"/>
      <c r="T34" s="12"/>
      <c r="U34" s="12"/>
      <c r="V34" s="16">
        <f t="shared" si="0"/>
        <v>5501</v>
      </c>
      <c r="W34" s="12">
        <v>45</v>
      </c>
      <c r="X34" s="12">
        <v>45</v>
      </c>
      <c r="Y34" s="16">
        <f>Table1[[#This Row],[LOAD K.M]]+Table1[[#This Row],[EMPTY K.M]]</f>
        <v>90</v>
      </c>
      <c r="Z34" s="16">
        <f>Table1[[#This Row],[INVOICE AMOUNT2]]-Table1[[#This Row],[Total Exp.]]</f>
        <v>3366</v>
      </c>
      <c r="AA34" s="12">
        <f>Table1[[#This Row],[Total Exp.]]/Table1[[#This Row],[Total k.m]]</f>
        <v>61.12222222222222</v>
      </c>
      <c r="AB34" s="17">
        <f>Table1[[#This Row],[Profit/loss]]/Table1[[#This Row],[Total k.m]]</f>
        <v>37.4</v>
      </c>
      <c r="AC34" s="12">
        <f>Table1[[#This Row],[INVOICE AMOUNT2]]/Table1[[#This Row],[Total k.m]]</f>
        <v>98.522222222222226</v>
      </c>
    </row>
    <row r="35" spans="1:29" x14ac:dyDescent="0.3">
      <c r="A35" s="7">
        <v>33</v>
      </c>
      <c r="B35" s="8" t="s">
        <v>119</v>
      </c>
      <c r="C35" s="12" t="s">
        <v>87</v>
      </c>
      <c r="D35" s="10">
        <v>45894</v>
      </c>
      <c r="E35" s="24" t="s">
        <v>120</v>
      </c>
      <c r="F35" s="12" t="s">
        <v>42</v>
      </c>
      <c r="G35" s="12" t="s">
        <v>43</v>
      </c>
      <c r="H35" s="12" t="s">
        <v>85</v>
      </c>
      <c r="I35" s="14">
        <v>6</v>
      </c>
      <c r="J35" s="15">
        <v>87664</v>
      </c>
      <c r="K35" s="23">
        <v>43893</v>
      </c>
      <c r="L35" s="23">
        <v>13531</v>
      </c>
      <c r="M35" s="23">
        <v>4500</v>
      </c>
      <c r="N35" s="23"/>
      <c r="O35" s="23"/>
      <c r="P35" s="23">
        <v>2000</v>
      </c>
      <c r="Q35" s="23">
        <v>1500</v>
      </c>
      <c r="R35" s="23"/>
      <c r="S35" s="23">
        <v>100</v>
      </c>
      <c r="T35" s="23"/>
      <c r="U35" s="23"/>
      <c r="V35" s="16">
        <f t="shared" si="0"/>
        <v>65524</v>
      </c>
      <c r="W35" s="23">
        <v>1176</v>
      </c>
      <c r="X35" s="23">
        <v>471</v>
      </c>
      <c r="Y35" s="16">
        <f>Table1[[#This Row],[LOAD K.M]]+Table1[[#This Row],[EMPTY K.M]]</f>
        <v>1647</v>
      </c>
      <c r="Z35" s="16">
        <f>Table1[[#This Row],[INVOICE AMOUNT2]]-Table1[[#This Row],[Total Exp.]]</f>
        <v>22140</v>
      </c>
      <c r="AA35" s="12">
        <f>Table1[[#This Row],[Total Exp.]]/Table1[[#This Row],[Total k.m]]</f>
        <v>39.783849423193686</v>
      </c>
      <c r="AB35" s="17">
        <f>Table1[[#This Row],[Profit/loss]]/Table1[[#This Row],[Total k.m]]</f>
        <v>13.442622950819672</v>
      </c>
      <c r="AC35" s="12">
        <f>Table1[[#This Row],[INVOICE AMOUNT2]]/Table1[[#This Row],[Total k.m]]</f>
        <v>53.226472374013355</v>
      </c>
    </row>
    <row r="36" spans="1:29" x14ac:dyDescent="0.3">
      <c r="A36" s="18">
        <v>34</v>
      </c>
      <c r="B36" s="8" t="s">
        <v>121</v>
      </c>
      <c r="C36" s="12" t="s">
        <v>82</v>
      </c>
      <c r="D36" s="10">
        <v>45894</v>
      </c>
      <c r="E36" s="24" t="s">
        <v>122</v>
      </c>
      <c r="F36" s="12" t="s">
        <v>42</v>
      </c>
      <c r="G36" s="12" t="s">
        <v>43</v>
      </c>
      <c r="H36" s="12" t="s">
        <v>85</v>
      </c>
      <c r="I36" s="14">
        <v>6</v>
      </c>
      <c r="J36" s="15">
        <v>87664</v>
      </c>
      <c r="K36" s="21">
        <v>45540</v>
      </c>
      <c r="L36" s="22">
        <v>13531</v>
      </c>
      <c r="M36" s="12">
        <v>4500</v>
      </c>
      <c r="N36" s="12"/>
      <c r="O36" s="12"/>
      <c r="P36" s="12">
        <v>2000</v>
      </c>
      <c r="Q36" s="12">
        <v>1000</v>
      </c>
      <c r="R36" s="12"/>
      <c r="S36" s="12"/>
      <c r="T36" s="12"/>
      <c r="U36" s="12">
        <v>1320</v>
      </c>
      <c r="V36" s="16">
        <f t="shared" si="0"/>
        <v>67891</v>
      </c>
      <c r="W36" s="12">
        <v>1179</v>
      </c>
      <c r="X36" s="12">
        <v>471</v>
      </c>
      <c r="Y36" s="16">
        <f>Table1[[#This Row],[LOAD K.M]]+Table1[[#This Row],[EMPTY K.M]]</f>
        <v>1650</v>
      </c>
      <c r="Z36" s="16">
        <f>Table1[[#This Row],[INVOICE AMOUNT2]]-Table1[[#This Row],[Total Exp.]]</f>
        <v>19773</v>
      </c>
      <c r="AA36" s="12">
        <f>Table1[[#This Row],[Total Exp.]]/Table1[[#This Row],[Total k.m]]</f>
        <v>41.146060606060608</v>
      </c>
      <c r="AB36" s="17">
        <f>Table1[[#This Row],[Profit/loss]]/Table1[[#This Row],[Total k.m]]</f>
        <v>11.983636363636364</v>
      </c>
      <c r="AC36" s="12">
        <f>Table1[[#This Row],[INVOICE AMOUNT2]]/Table1[[#This Row],[Total k.m]]</f>
        <v>53.129696969696973</v>
      </c>
    </row>
    <row r="37" spans="1:29" x14ac:dyDescent="0.3">
      <c r="A37" s="7">
        <v>35</v>
      </c>
      <c r="B37" s="8" t="s">
        <v>123</v>
      </c>
      <c r="C37" s="12" t="s">
        <v>98</v>
      </c>
      <c r="D37" s="10">
        <v>45894</v>
      </c>
      <c r="E37" s="24" t="s">
        <v>124</v>
      </c>
      <c r="F37" s="12" t="s">
        <v>42</v>
      </c>
      <c r="G37" s="12" t="s">
        <v>43</v>
      </c>
      <c r="H37" s="12" t="s">
        <v>125</v>
      </c>
      <c r="I37" s="14">
        <v>6</v>
      </c>
      <c r="J37" s="15">
        <v>142391</v>
      </c>
      <c r="K37" s="23">
        <v>72782</v>
      </c>
      <c r="L37" s="23">
        <v>18913</v>
      </c>
      <c r="M37" s="23">
        <v>7600</v>
      </c>
      <c r="N37" s="23"/>
      <c r="O37" s="23"/>
      <c r="P37" s="23">
        <v>2000</v>
      </c>
      <c r="Q37" s="23">
        <v>1000</v>
      </c>
      <c r="R37" s="23"/>
      <c r="S37" s="23"/>
      <c r="T37" s="23">
        <v>4000</v>
      </c>
      <c r="U37" s="23"/>
      <c r="V37" s="16">
        <f t="shared" si="0"/>
        <v>106295</v>
      </c>
      <c r="W37" s="23">
        <v>2033</v>
      </c>
      <c r="X37" s="23">
        <v>652</v>
      </c>
      <c r="Y37" s="16">
        <f>Table1[[#This Row],[LOAD K.M]]+Table1[[#This Row],[EMPTY K.M]]</f>
        <v>2685</v>
      </c>
      <c r="Z37" s="16">
        <f>Table1[[#This Row],[INVOICE AMOUNT2]]-Table1[[#This Row],[Total Exp.]]</f>
        <v>36096</v>
      </c>
      <c r="AA37" s="12">
        <f>Table1[[#This Row],[Total Exp.]]/Table1[[#This Row],[Total k.m]]</f>
        <v>39.588454376163874</v>
      </c>
      <c r="AB37" s="17">
        <f>Table1[[#This Row],[Profit/loss]]/Table1[[#This Row],[Total k.m]]</f>
        <v>13.443575418994413</v>
      </c>
      <c r="AC37" s="12">
        <f>Table1[[#This Row],[INVOICE AMOUNT2]]/Table1[[#This Row],[Total k.m]]</f>
        <v>53.032029795158287</v>
      </c>
    </row>
    <row r="38" spans="1:29" x14ac:dyDescent="0.3">
      <c r="A38" s="7">
        <v>36</v>
      </c>
      <c r="B38" s="25" t="s">
        <v>126</v>
      </c>
      <c r="C38" s="13" t="s">
        <v>63</v>
      </c>
      <c r="D38" s="10">
        <v>45894</v>
      </c>
      <c r="E38" s="11" t="s">
        <v>124</v>
      </c>
      <c r="F38" s="13" t="s">
        <v>35</v>
      </c>
      <c r="G38" s="13" t="s">
        <v>36</v>
      </c>
      <c r="H38" s="13" t="s">
        <v>127</v>
      </c>
      <c r="I38" s="14">
        <v>8</v>
      </c>
      <c r="J38" s="14">
        <v>136046</v>
      </c>
      <c r="K38" s="28">
        <v>59881</v>
      </c>
      <c r="L38" s="28">
        <v>18207</v>
      </c>
      <c r="M38" s="13">
        <v>4500</v>
      </c>
      <c r="N38" s="13"/>
      <c r="O38" s="13"/>
      <c r="P38" s="13">
        <v>2000</v>
      </c>
      <c r="Q38" s="13">
        <v>1000</v>
      </c>
      <c r="R38" s="13">
        <v>3000</v>
      </c>
      <c r="S38" s="13"/>
      <c r="T38" s="13"/>
      <c r="U38" s="13">
        <v>1320</v>
      </c>
      <c r="V38" s="16">
        <f t="shared" si="0"/>
        <v>89908</v>
      </c>
      <c r="W38" s="13">
        <v>1340</v>
      </c>
      <c r="X38" s="13">
        <v>812</v>
      </c>
      <c r="Y38" s="16">
        <f>Table1[[#This Row],[LOAD K.M]]+Table1[[#This Row],[EMPTY K.M]]</f>
        <v>2152</v>
      </c>
      <c r="Z38" s="16">
        <f>Table1[[#This Row],[INVOICE AMOUNT2]]-Table1[[#This Row],[Total Exp.]]</f>
        <v>46138</v>
      </c>
      <c r="AA38" s="13">
        <f>Table1[[#This Row],[Total Exp.]]/Table1[[#This Row],[Total k.m]]</f>
        <v>41.778810408921935</v>
      </c>
      <c r="AB38" s="26">
        <f>Table1[[#This Row],[Profit/loss]]/Table1[[#This Row],[Total k.m]]</f>
        <v>21.439591078066915</v>
      </c>
      <c r="AC38" s="12">
        <f>Table1[[#This Row],[INVOICE AMOUNT2]]/Table1[[#This Row],[Total k.m]]</f>
        <v>63.218401486988846</v>
      </c>
    </row>
    <row r="39" spans="1:29" x14ac:dyDescent="0.3">
      <c r="A39" s="7">
        <v>37</v>
      </c>
      <c r="B39" s="8" t="s">
        <v>128</v>
      </c>
      <c r="C39" s="12" t="s">
        <v>84</v>
      </c>
      <c r="D39" s="10">
        <v>45894</v>
      </c>
      <c r="E39" s="24" t="s">
        <v>124</v>
      </c>
      <c r="F39" s="12" t="s">
        <v>35</v>
      </c>
      <c r="G39" s="12" t="s">
        <v>36</v>
      </c>
      <c r="H39" s="12" t="s">
        <v>129</v>
      </c>
      <c r="I39" s="14">
        <v>8</v>
      </c>
      <c r="J39" s="15">
        <v>202801</v>
      </c>
      <c r="K39" s="21">
        <v>82136</v>
      </c>
      <c r="L39" s="23">
        <v>26717</v>
      </c>
      <c r="M39" s="23">
        <v>6000</v>
      </c>
      <c r="N39" s="23"/>
      <c r="O39" s="23"/>
      <c r="P39" s="23"/>
      <c r="Q39" s="23">
        <v>1000</v>
      </c>
      <c r="R39" s="23"/>
      <c r="S39" s="23"/>
      <c r="T39" s="23"/>
      <c r="U39" s="23">
        <v>2360</v>
      </c>
      <c r="V39" s="16">
        <f t="shared" si="0"/>
        <v>118213</v>
      </c>
      <c r="W39" s="23">
        <v>1753</v>
      </c>
      <c r="X39" s="23">
        <v>1277</v>
      </c>
      <c r="Y39" s="16">
        <f>Table1[[#This Row],[LOAD K.M]]+Table1[[#This Row],[EMPTY K.M]]</f>
        <v>3030</v>
      </c>
      <c r="Z39" s="16">
        <f>Table1[[#This Row],[INVOICE AMOUNT2]]-Table1[[#This Row],[Total Exp.]]</f>
        <v>84588</v>
      </c>
      <c r="AA39" s="12">
        <f>Table1[[#This Row],[Total Exp.]]/Table1[[#This Row],[Total k.m]]</f>
        <v>39.014191419141916</v>
      </c>
      <c r="AB39" s="17">
        <f>Table1[[#This Row],[Profit/loss]]/Table1[[#This Row],[Total k.m]]</f>
        <v>27.916831683168319</v>
      </c>
      <c r="AC39" s="12">
        <f>Table1[[#This Row],[INVOICE AMOUNT2]]/Table1[[#This Row],[Total k.m]]</f>
        <v>66.931023102310235</v>
      </c>
    </row>
    <row r="40" spans="1:29" x14ac:dyDescent="0.3">
      <c r="A40" s="18">
        <v>38</v>
      </c>
      <c r="B40" s="8" t="s">
        <v>130</v>
      </c>
      <c r="C40" s="12" t="s">
        <v>75</v>
      </c>
      <c r="D40" s="10">
        <v>45894</v>
      </c>
      <c r="E40" s="24" t="s">
        <v>124</v>
      </c>
      <c r="F40" s="12" t="s">
        <v>42</v>
      </c>
      <c r="G40" s="12" t="s">
        <v>43</v>
      </c>
      <c r="H40" s="12" t="s">
        <v>131</v>
      </c>
      <c r="I40" s="14">
        <v>6</v>
      </c>
      <c r="J40" s="15">
        <v>79650</v>
      </c>
      <c r="K40" s="12">
        <v>43771</v>
      </c>
      <c r="L40" s="12">
        <v>18090</v>
      </c>
      <c r="M40" s="12">
        <v>5000</v>
      </c>
      <c r="N40" s="12"/>
      <c r="O40" s="12"/>
      <c r="P40" s="12">
        <v>2000</v>
      </c>
      <c r="Q40" s="12">
        <v>1000</v>
      </c>
      <c r="R40" s="12"/>
      <c r="S40" s="12">
        <v>150</v>
      </c>
      <c r="T40" s="12">
        <v>370</v>
      </c>
      <c r="U40" s="12">
        <v>2440</v>
      </c>
      <c r="V40" s="16">
        <f t="shared" si="0"/>
        <v>72821</v>
      </c>
      <c r="W40" s="12">
        <v>1180</v>
      </c>
      <c r="X40" s="12">
        <v>480</v>
      </c>
      <c r="Y40" s="16">
        <f>Table1[[#This Row],[LOAD K.M]]+Table1[[#This Row],[EMPTY K.M]]</f>
        <v>1660</v>
      </c>
      <c r="Z40" s="16">
        <f>Table1[[#This Row],[INVOICE AMOUNT2]]-Table1[[#This Row],[Total Exp.]]</f>
        <v>6829</v>
      </c>
      <c r="AA40" s="12">
        <f>Table1[[#This Row],[Total Exp.]]/Table1[[#This Row],[Total k.m]]</f>
        <v>43.868072289156629</v>
      </c>
      <c r="AB40" s="17">
        <f>Table1[[#This Row],[Profit/loss]]/Table1[[#This Row],[Total k.m]]</f>
        <v>4.1138554216867469</v>
      </c>
      <c r="AC40" s="12">
        <f>Table1[[#This Row],[INVOICE AMOUNT2]]/Table1[[#This Row],[Total k.m]]</f>
        <v>47.981927710843372</v>
      </c>
    </row>
    <row r="41" spans="1:29" x14ac:dyDescent="0.3">
      <c r="A41" s="7">
        <v>39</v>
      </c>
      <c r="B41" s="8" t="s">
        <v>132</v>
      </c>
      <c r="C41" s="12" t="s">
        <v>59</v>
      </c>
      <c r="D41" s="10">
        <v>45894</v>
      </c>
      <c r="E41" s="24" t="s">
        <v>124</v>
      </c>
      <c r="F41" s="12" t="s">
        <v>42</v>
      </c>
      <c r="G41" s="12" t="s">
        <v>43</v>
      </c>
      <c r="H41" s="12" t="s">
        <v>36</v>
      </c>
      <c r="I41" s="14">
        <v>6</v>
      </c>
      <c r="J41" s="15">
        <v>49551</v>
      </c>
      <c r="K41" s="21">
        <v>23937</v>
      </c>
      <c r="L41" s="23">
        <v>6473</v>
      </c>
      <c r="M41" s="23">
        <v>1500</v>
      </c>
      <c r="N41" s="23"/>
      <c r="O41" s="23"/>
      <c r="P41" s="23"/>
      <c r="Q41" s="23">
        <v>1000</v>
      </c>
      <c r="R41" s="23"/>
      <c r="S41" s="23"/>
      <c r="T41" s="23"/>
      <c r="U41" s="23">
        <v>1040</v>
      </c>
      <c r="V41" s="16">
        <f t="shared" si="0"/>
        <v>33950</v>
      </c>
      <c r="W41" s="23">
        <v>880</v>
      </c>
      <c r="X41" s="23"/>
      <c r="Y41" s="16">
        <f>Table1[[#This Row],[LOAD K.M]]+Table1[[#This Row],[EMPTY K.M]]</f>
        <v>880</v>
      </c>
      <c r="Z41" s="16">
        <f>Table1[[#This Row],[INVOICE AMOUNT2]]-Table1[[#This Row],[Total Exp.]]</f>
        <v>15601</v>
      </c>
      <c r="AA41" s="12">
        <f>Table1[[#This Row],[Total Exp.]]/Table1[[#This Row],[Total k.m]]</f>
        <v>38.579545454545453</v>
      </c>
      <c r="AB41" s="17">
        <f>Table1[[#This Row],[Profit/loss]]/Table1[[#This Row],[Total k.m]]</f>
        <v>17.728409090909089</v>
      </c>
      <c r="AC41" s="12">
        <f>Table1[[#This Row],[INVOICE AMOUNT2]]/Table1[[#This Row],[Total k.m]]</f>
        <v>56.307954545454542</v>
      </c>
    </row>
    <row r="42" spans="1:29" x14ac:dyDescent="0.3">
      <c r="A42" s="18">
        <v>40</v>
      </c>
      <c r="B42" s="25" t="s">
        <v>133</v>
      </c>
      <c r="C42" s="12" t="s">
        <v>134</v>
      </c>
      <c r="D42" s="10">
        <v>45894</v>
      </c>
      <c r="E42" s="24" t="s">
        <v>135</v>
      </c>
      <c r="F42" s="12" t="s">
        <v>65</v>
      </c>
      <c r="G42" s="12" t="s">
        <v>66</v>
      </c>
      <c r="H42" s="12" t="s">
        <v>36</v>
      </c>
      <c r="I42" s="14">
        <v>8</v>
      </c>
      <c r="J42" s="15">
        <v>94946</v>
      </c>
      <c r="K42" s="21">
        <v>35508</v>
      </c>
      <c r="L42" s="21">
        <v>10113.299999999999</v>
      </c>
      <c r="M42" s="12">
        <v>4500</v>
      </c>
      <c r="N42" s="12"/>
      <c r="O42" s="12">
        <v>683</v>
      </c>
      <c r="P42" s="12">
        <v>2000</v>
      </c>
      <c r="Q42" s="12">
        <v>1000</v>
      </c>
      <c r="R42" s="12"/>
      <c r="S42" s="12">
        <v>1500</v>
      </c>
      <c r="T42" s="12">
        <v>1500</v>
      </c>
      <c r="U42" s="12">
        <v>1820</v>
      </c>
      <c r="V42" s="16">
        <f t="shared" si="0"/>
        <v>58624.3</v>
      </c>
      <c r="W42" s="12">
        <v>1276</v>
      </c>
      <c r="X42" s="12"/>
      <c r="Y42" s="16">
        <f>Table1[[#This Row],[LOAD K.M]]+Table1[[#This Row],[EMPTY K.M]]</f>
        <v>1276</v>
      </c>
      <c r="Z42" s="16">
        <f>Table1[[#This Row],[INVOICE AMOUNT2]]-Table1[[#This Row],[Total Exp.]]</f>
        <v>36321.699999999997</v>
      </c>
      <c r="AA42" s="12">
        <f>Table1[[#This Row],[Total Exp.]]/Table1[[#This Row],[Total k.m]]</f>
        <v>45.943808777429467</v>
      </c>
      <c r="AB42" s="17">
        <f>Table1[[#This Row],[Profit/loss]]/Table1[[#This Row],[Total k.m]]</f>
        <v>28.465282131661439</v>
      </c>
      <c r="AC42" s="12">
        <f>Table1[[#This Row],[INVOICE AMOUNT2]]/Table1[[#This Row],[Total k.m]]</f>
        <v>74.409090909090907</v>
      </c>
    </row>
    <row r="43" spans="1:29" x14ac:dyDescent="0.3">
      <c r="A43" s="7">
        <v>41</v>
      </c>
      <c r="B43" s="8" t="s">
        <v>136</v>
      </c>
      <c r="C43" s="12" t="s">
        <v>95</v>
      </c>
      <c r="D43" s="10">
        <v>45894</v>
      </c>
      <c r="E43" s="24" t="s">
        <v>137</v>
      </c>
      <c r="F43" s="12" t="s">
        <v>42</v>
      </c>
      <c r="G43" s="12" t="s">
        <v>43</v>
      </c>
      <c r="H43" s="12" t="s">
        <v>138</v>
      </c>
      <c r="I43" s="14">
        <v>6</v>
      </c>
      <c r="J43" s="15">
        <v>111761</v>
      </c>
      <c r="K43" s="21">
        <v>63333</v>
      </c>
      <c r="L43" s="23">
        <v>22106</v>
      </c>
      <c r="M43" s="23">
        <v>6000</v>
      </c>
      <c r="N43" s="23"/>
      <c r="O43" s="23"/>
      <c r="P43" s="23">
        <v>2000</v>
      </c>
      <c r="Q43" s="23">
        <v>1000</v>
      </c>
      <c r="R43" s="23"/>
      <c r="S43" s="23"/>
      <c r="T43" s="23">
        <v>850</v>
      </c>
      <c r="U43" s="23">
        <v>2000</v>
      </c>
      <c r="V43" s="16">
        <f t="shared" si="0"/>
        <v>97289</v>
      </c>
      <c r="W43" s="23">
        <v>1810</v>
      </c>
      <c r="X43" s="23">
        <v>520</v>
      </c>
      <c r="Y43" s="16">
        <f>Table1[[#This Row],[LOAD K.M]]+Table1[[#This Row],[EMPTY K.M]]</f>
        <v>2330</v>
      </c>
      <c r="Z43" s="16">
        <f>Table1[[#This Row],[INVOICE AMOUNT2]]-Table1[[#This Row],[Total Exp.]]</f>
        <v>14472</v>
      </c>
      <c r="AA43" s="12">
        <f>Table1[[#This Row],[Total Exp.]]/Table1[[#This Row],[Total k.m]]</f>
        <v>41.754935622317596</v>
      </c>
      <c r="AB43" s="17">
        <f>Table1[[#This Row],[Profit/loss]]/Table1[[#This Row],[Total k.m]]</f>
        <v>6.2111587982832619</v>
      </c>
      <c r="AC43" s="12">
        <f>Table1[[#This Row],[INVOICE AMOUNT2]]/Table1[[#This Row],[Total k.m]]</f>
        <v>47.966094420600861</v>
      </c>
    </row>
    <row r="44" spans="1:29" x14ac:dyDescent="0.3">
      <c r="A44" s="18">
        <v>42</v>
      </c>
      <c r="B44" s="8" t="s">
        <v>139</v>
      </c>
      <c r="C44" s="12" t="s">
        <v>72</v>
      </c>
      <c r="D44" s="10">
        <v>45894</v>
      </c>
      <c r="E44" s="24" t="s">
        <v>137</v>
      </c>
      <c r="F44" s="12" t="s">
        <v>65</v>
      </c>
      <c r="G44" s="12" t="s">
        <v>66</v>
      </c>
      <c r="H44" s="12" t="s">
        <v>140</v>
      </c>
      <c r="I44" s="14">
        <v>8</v>
      </c>
      <c r="J44" s="15">
        <v>208662</v>
      </c>
      <c r="K44" s="12">
        <v>66612</v>
      </c>
      <c r="L44" s="12">
        <v>22329</v>
      </c>
      <c r="M44" s="12">
        <v>10500</v>
      </c>
      <c r="N44" s="12"/>
      <c r="O44" s="12"/>
      <c r="P44" s="12">
        <v>2000</v>
      </c>
      <c r="Q44" s="12">
        <v>1000</v>
      </c>
      <c r="R44" s="12"/>
      <c r="S44" s="12"/>
      <c r="T44" s="12"/>
      <c r="U44" s="12">
        <v>1320</v>
      </c>
      <c r="V44" s="16">
        <f t="shared" si="0"/>
        <v>103761</v>
      </c>
      <c r="W44" s="12">
        <v>2390</v>
      </c>
      <c r="X44" s="12">
        <v>26</v>
      </c>
      <c r="Y44" s="16">
        <f>Table1[[#This Row],[LOAD K.M]]+Table1[[#This Row],[EMPTY K.M]]</f>
        <v>2416</v>
      </c>
      <c r="Z44" s="16">
        <f>Table1[[#This Row],[INVOICE AMOUNT2]]-Table1[[#This Row],[Total Exp.]]</f>
        <v>104901</v>
      </c>
      <c r="AA44" s="12">
        <f>Table1[[#This Row],[Total Exp.]]/Table1[[#This Row],[Total k.m]]</f>
        <v>42.947433774834437</v>
      </c>
      <c r="AB44" s="17">
        <f>Table1[[#This Row],[Profit/loss]]/Table1[[#This Row],[Total k.m]]</f>
        <v>43.419288079470199</v>
      </c>
      <c r="AC44" s="12">
        <f>Table1[[#This Row],[INVOICE AMOUNT2]]/Table1[[#This Row],[Total k.m]]</f>
        <v>86.366721854304629</v>
      </c>
    </row>
    <row r="45" spans="1:29" x14ac:dyDescent="0.3">
      <c r="A45" s="7">
        <v>43</v>
      </c>
      <c r="B45" s="8" t="s">
        <v>141</v>
      </c>
      <c r="C45" s="12" t="s">
        <v>69</v>
      </c>
      <c r="D45" s="10">
        <v>45894</v>
      </c>
      <c r="E45" s="24" t="s">
        <v>137</v>
      </c>
      <c r="F45" s="12" t="s">
        <v>142</v>
      </c>
      <c r="G45" s="12" t="s">
        <v>66</v>
      </c>
      <c r="H45" s="12" t="s">
        <v>143</v>
      </c>
      <c r="I45" s="14">
        <v>6</v>
      </c>
      <c r="J45" s="15">
        <v>154392</v>
      </c>
      <c r="K45" s="23">
        <v>88713</v>
      </c>
      <c r="L45" s="23">
        <v>29632</v>
      </c>
      <c r="M45" s="23">
        <v>11500</v>
      </c>
      <c r="N45" s="23"/>
      <c r="O45" s="23">
        <v>500</v>
      </c>
      <c r="P45" s="23">
        <v>2000</v>
      </c>
      <c r="Q45" s="23">
        <v>1000</v>
      </c>
      <c r="R45" s="23"/>
      <c r="S45" s="23">
        <v>900</v>
      </c>
      <c r="T45" s="23">
        <v>4000</v>
      </c>
      <c r="U45" s="23">
        <v>2640</v>
      </c>
      <c r="V45" s="16">
        <f t="shared" si="0"/>
        <v>140885</v>
      </c>
      <c r="W45" s="23">
        <v>1885</v>
      </c>
      <c r="X45" s="23">
        <v>1392</v>
      </c>
      <c r="Y45" s="16">
        <f>Table1[[#This Row],[LOAD K.M]]+Table1[[#This Row],[EMPTY K.M]]</f>
        <v>3277</v>
      </c>
      <c r="Z45" s="16">
        <f>Table1[[#This Row],[INVOICE AMOUNT2]]-Table1[[#This Row],[Total Exp.]]</f>
        <v>13507</v>
      </c>
      <c r="AA45" s="12">
        <f>Table1[[#This Row],[Total Exp.]]/Table1[[#This Row],[Total k.m]]</f>
        <v>42.99206591394568</v>
      </c>
      <c r="AB45" s="17">
        <f>Table1[[#This Row],[Profit/loss]]/Table1[[#This Row],[Total k.m]]</f>
        <v>4.1217577052181875</v>
      </c>
      <c r="AC45" s="12">
        <f>Table1[[#This Row],[INVOICE AMOUNT2]]/Table1[[#This Row],[Total k.m]]</f>
        <v>47.113823619163867</v>
      </c>
    </row>
    <row r="46" spans="1:29" x14ac:dyDescent="0.3">
      <c r="A46" s="18">
        <v>44</v>
      </c>
      <c r="B46" s="8" t="s">
        <v>144</v>
      </c>
      <c r="C46" s="12" t="s">
        <v>34</v>
      </c>
      <c r="D46" s="10">
        <v>45894</v>
      </c>
      <c r="E46" s="24" t="s">
        <v>137</v>
      </c>
      <c r="F46" s="12" t="s">
        <v>42</v>
      </c>
      <c r="G46" s="12" t="s">
        <v>43</v>
      </c>
      <c r="H46" s="12" t="s">
        <v>36</v>
      </c>
      <c r="I46" s="14">
        <v>6</v>
      </c>
      <c r="J46" s="15">
        <v>49551</v>
      </c>
      <c r="K46" s="21">
        <v>23889</v>
      </c>
      <c r="L46" s="12">
        <v>9102</v>
      </c>
      <c r="M46" s="12">
        <v>1500</v>
      </c>
      <c r="N46" s="12"/>
      <c r="O46" s="12"/>
      <c r="P46" s="12">
        <v>2000</v>
      </c>
      <c r="Q46" s="12">
        <v>1000</v>
      </c>
      <c r="R46" s="12"/>
      <c r="S46" s="12">
        <v>150</v>
      </c>
      <c r="T46" s="12"/>
      <c r="U46" s="12"/>
      <c r="V46" s="16">
        <f t="shared" si="0"/>
        <v>37641</v>
      </c>
      <c r="W46" s="12">
        <v>838</v>
      </c>
      <c r="X46" s="12">
        <v>43</v>
      </c>
      <c r="Y46" s="16">
        <f>Table1[[#This Row],[LOAD K.M]]+Table1[[#This Row],[EMPTY K.M]]</f>
        <v>881</v>
      </c>
      <c r="Z46" s="16">
        <f>Table1[[#This Row],[INVOICE AMOUNT2]]-Table1[[#This Row],[Total Exp.]]</f>
        <v>11910</v>
      </c>
      <c r="AA46" s="12">
        <f>Table1[[#This Row],[Total Exp.]]/Table1[[#This Row],[Total k.m]]</f>
        <v>42.725312145289443</v>
      </c>
      <c r="AB46" s="17">
        <f>Table1[[#This Row],[Profit/loss]]/Table1[[#This Row],[Total k.m]]</f>
        <v>13.51872871736663</v>
      </c>
      <c r="AC46" s="12">
        <f>Table1[[#This Row],[INVOICE AMOUNT2]]/Table1[[#This Row],[Total k.m]]</f>
        <v>56.244040862656071</v>
      </c>
    </row>
    <row r="47" spans="1:29" x14ac:dyDescent="0.3">
      <c r="A47" s="7">
        <v>45</v>
      </c>
      <c r="B47" s="25" t="s">
        <v>145</v>
      </c>
      <c r="C47" s="12" t="s">
        <v>29</v>
      </c>
      <c r="D47" s="10">
        <v>45894</v>
      </c>
      <c r="E47" s="24" t="s">
        <v>137</v>
      </c>
      <c r="F47" s="12" t="s">
        <v>113</v>
      </c>
      <c r="G47" s="12" t="s">
        <v>114</v>
      </c>
      <c r="H47" s="12" t="s">
        <v>146</v>
      </c>
      <c r="I47" s="14">
        <v>7</v>
      </c>
      <c r="J47" s="15">
        <v>123865</v>
      </c>
      <c r="K47" s="21">
        <v>55302</v>
      </c>
      <c r="L47" s="23">
        <v>17565</v>
      </c>
      <c r="M47" s="23">
        <v>9200</v>
      </c>
      <c r="N47" s="23"/>
      <c r="O47" s="23"/>
      <c r="P47" s="23">
        <v>2000</v>
      </c>
      <c r="Q47" s="23">
        <v>1000</v>
      </c>
      <c r="R47" s="23"/>
      <c r="S47" s="23">
        <v>240</v>
      </c>
      <c r="T47" s="23">
        <v>80</v>
      </c>
      <c r="U47" s="23">
        <v>2640</v>
      </c>
      <c r="V47" s="16">
        <f t="shared" si="0"/>
        <v>88027</v>
      </c>
      <c r="W47" s="23">
        <v>1345</v>
      </c>
      <c r="X47" s="23">
        <v>693</v>
      </c>
      <c r="Y47" s="16">
        <f>Table1[[#This Row],[LOAD K.M]]+Table1[[#This Row],[EMPTY K.M]]</f>
        <v>2038</v>
      </c>
      <c r="Z47" s="16">
        <f>Table1[[#This Row],[INVOICE AMOUNT2]]-Table1[[#This Row],[Total Exp.]]</f>
        <v>35838</v>
      </c>
      <c r="AA47" s="12">
        <f>Table1[[#This Row],[Total Exp.]]/Table1[[#This Row],[Total k.m]]</f>
        <v>43.192836113837096</v>
      </c>
      <c r="AB47" s="17">
        <f>Table1[[#This Row],[Profit/loss]]/Table1[[#This Row],[Total k.m]]</f>
        <v>17.584887144259078</v>
      </c>
      <c r="AC47" s="12">
        <f>Table1[[#This Row],[INVOICE AMOUNT2]]/Table1[[#This Row],[Total k.m]]</f>
        <v>60.777723258096174</v>
      </c>
    </row>
    <row r="48" spans="1:29" x14ac:dyDescent="0.3">
      <c r="A48" s="18">
        <v>46</v>
      </c>
      <c r="B48" s="25" t="s">
        <v>147</v>
      </c>
      <c r="C48" s="12" t="s">
        <v>87</v>
      </c>
      <c r="D48" s="10">
        <v>45894</v>
      </c>
      <c r="E48" s="24" t="s">
        <v>148</v>
      </c>
      <c r="F48" s="12" t="s">
        <v>113</v>
      </c>
      <c r="G48" s="12" t="s">
        <v>114</v>
      </c>
      <c r="H48" s="12" t="s">
        <v>149</v>
      </c>
      <c r="I48" s="14">
        <v>7</v>
      </c>
      <c r="J48" s="15">
        <v>162358</v>
      </c>
      <c r="K48" s="12">
        <v>59466</v>
      </c>
      <c r="L48" s="12">
        <v>21721</v>
      </c>
      <c r="M48" s="12">
        <v>9000</v>
      </c>
      <c r="N48" s="12"/>
      <c r="O48" s="12"/>
      <c r="P48" s="12">
        <v>2000</v>
      </c>
      <c r="Q48" s="12">
        <v>1000</v>
      </c>
      <c r="R48" s="12"/>
      <c r="S48" s="12"/>
      <c r="T48" s="12"/>
      <c r="U48" s="12">
        <v>1320</v>
      </c>
      <c r="V48" s="16">
        <f t="shared" si="0"/>
        <v>94507</v>
      </c>
      <c r="W48" s="12">
        <v>2008</v>
      </c>
      <c r="X48" s="12">
        <v>130</v>
      </c>
      <c r="Y48" s="16">
        <f>Table1[[#This Row],[LOAD K.M]]+Table1[[#This Row],[EMPTY K.M]]</f>
        <v>2138</v>
      </c>
      <c r="Z48" s="16">
        <f>Table1[[#This Row],[INVOICE AMOUNT2]]-Table1[[#This Row],[Total Exp.]]</f>
        <v>67851</v>
      </c>
      <c r="AA48" s="12">
        <f>Table1[[#This Row],[Total Exp.]]/Table1[[#This Row],[Total k.m]]</f>
        <v>44.203461178671652</v>
      </c>
      <c r="AB48" s="17">
        <f>Table1[[#This Row],[Profit/loss]]/Table1[[#This Row],[Total k.m]]</f>
        <v>31.735734331150606</v>
      </c>
      <c r="AC48" s="12">
        <f>Table1[[#This Row],[INVOICE AMOUNT2]]/Table1[[#This Row],[Total k.m]]</f>
        <v>75.93919550982227</v>
      </c>
    </row>
    <row r="49" spans="1:29" x14ac:dyDescent="0.3">
      <c r="A49" s="7">
        <v>47</v>
      </c>
      <c r="B49" s="8" t="s">
        <v>150</v>
      </c>
      <c r="C49" s="12" t="s">
        <v>102</v>
      </c>
      <c r="D49" s="10">
        <v>45894</v>
      </c>
      <c r="E49" s="24" t="s">
        <v>148</v>
      </c>
      <c r="F49" s="12" t="s">
        <v>151</v>
      </c>
      <c r="G49" s="12" t="s">
        <v>66</v>
      </c>
      <c r="H49" s="12" t="s">
        <v>36</v>
      </c>
      <c r="I49" s="14">
        <v>6</v>
      </c>
      <c r="J49" s="15">
        <v>78600</v>
      </c>
      <c r="K49" s="21">
        <v>37314</v>
      </c>
      <c r="L49" s="23">
        <v>11063</v>
      </c>
      <c r="M49" s="23">
        <v>4500</v>
      </c>
      <c r="N49" s="23"/>
      <c r="O49" s="23"/>
      <c r="P49" s="23">
        <v>2000</v>
      </c>
      <c r="Q49" s="23">
        <v>1000</v>
      </c>
      <c r="R49" s="23"/>
      <c r="S49" s="23">
        <v>750</v>
      </c>
      <c r="T49" s="23"/>
      <c r="U49" s="23">
        <v>1320</v>
      </c>
      <c r="V49" s="16">
        <f t="shared" si="0"/>
        <v>57947</v>
      </c>
      <c r="W49" s="23">
        <v>1315</v>
      </c>
      <c r="X49" s="23">
        <v>21</v>
      </c>
      <c r="Y49" s="16">
        <f>Table1[[#This Row],[LOAD K.M]]+Table1[[#This Row],[EMPTY K.M]]</f>
        <v>1336</v>
      </c>
      <c r="Z49" s="16">
        <f>Table1[[#This Row],[INVOICE AMOUNT2]]-Table1[[#This Row],[Total Exp.]]</f>
        <v>20653</v>
      </c>
      <c r="AA49" s="12">
        <f>Table1[[#This Row],[Total Exp.]]/Table1[[#This Row],[Total k.m]]</f>
        <v>43.373502994011979</v>
      </c>
      <c r="AB49" s="17">
        <f>Table1[[#This Row],[Profit/loss]]/Table1[[#This Row],[Total k.m]]</f>
        <v>15.458832335329342</v>
      </c>
      <c r="AC49" s="12">
        <f>Table1[[#This Row],[INVOICE AMOUNT2]]/Table1[[#This Row],[Total k.m]]</f>
        <v>58.832335329341319</v>
      </c>
    </row>
    <row r="50" spans="1:29" x14ac:dyDescent="0.3">
      <c r="A50" s="18">
        <v>48</v>
      </c>
      <c r="B50" s="8" t="s">
        <v>152</v>
      </c>
      <c r="C50" s="12" t="s">
        <v>77</v>
      </c>
      <c r="D50" s="10">
        <v>45894</v>
      </c>
      <c r="E50" s="24" t="s">
        <v>148</v>
      </c>
      <c r="F50" s="12" t="s">
        <v>151</v>
      </c>
      <c r="G50" s="12" t="s">
        <v>66</v>
      </c>
      <c r="H50" s="12" t="s">
        <v>36</v>
      </c>
      <c r="I50" s="14">
        <v>6</v>
      </c>
      <c r="J50" s="15">
        <v>78600</v>
      </c>
      <c r="K50" s="21">
        <v>37314</v>
      </c>
      <c r="L50" s="12">
        <v>10748</v>
      </c>
      <c r="M50" s="12">
        <v>4500</v>
      </c>
      <c r="N50" s="12"/>
      <c r="O50" s="12"/>
      <c r="P50" s="12">
        <v>2000</v>
      </c>
      <c r="Q50" s="12">
        <v>1000</v>
      </c>
      <c r="R50" s="12"/>
      <c r="S50" s="12">
        <v>600</v>
      </c>
      <c r="T50" s="12"/>
      <c r="U50" s="12">
        <v>1320</v>
      </c>
      <c r="V50" s="16">
        <f t="shared" si="0"/>
        <v>57482</v>
      </c>
      <c r="W50" s="12">
        <v>1314</v>
      </c>
      <c r="X50" s="12">
        <v>22</v>
      </c>
      <c r="Y50" s="16">
        <f>Table1[[#This Row],[LOAD K.M]]+Table1[[#This Row],[EMPTY K.M]]</f>
        <v>1336</v>
      </c>
      <c r="Z50" s="16">
        <f>Table1[[#This Row],[INVOICE AMOUNT2]]-Table1[[#This Row],[Total Exp.]]</f>
        <v>21118</v>
      </c>
      <c r="AA50" s="12">
        <f>Table1[[#This Row],[Total Exp.]]/Table1[[#This Row],[Total k.m]]</f>
        <v>43.025449101796404</v>
      </c>
      <c r="AB50" s="17">
        <f>Table1[[#This Row],[Profit/loss]]/Table1[[#This Row],[Total k.m]]</f>
        <v>15.80688622754491</v>
      </c>
      <c r="AC50" s="12">
        <f>Table1[[#This Row],[INVOICE AMOUNT2]]/Table1[[#This Row],[Total k.m]]</f>
        <v>58.832335329341319</v>
      </c>
    </row>
    <row r="51" spans="1:29" x14ac:dyDescent="0.3">
      <c r="A51" s="7">
        <v>49</v>
      </c>
      <c r="B51" s="8" t="s">
        <v>153</v>
      </c>
      <c r="C51" s="12" t="s">
        <v>93</v>
      </c>
      <c r="D51" s="10">
        <v>45894</v>
      </c>
      <c r="E51" s="24" t="s">
        <v>148</v>
      </c>
      <c r="F51" s="12" t="s">
        <v>35</v>
      </c>
      <c r="G51" s="12" t="s">
        <v>36</v>
      </c>
      <c r="H51" s="12" t="s">
        <v>154</v>
      </c>
      <c r="I51" s="14">
        <v>8</v>
      </c>
      <c r="J51" s="15">
        <v>147773</v>
      </c>
      <c r="K51" s="21">
        <v>50124</v>
      </c>
      <c r="L51" s="23">
        <v>14958</v>
      </c>
      <c r="M51" s="23">
        <v>4000</v>
      </c>
      <c r="N51" s="23"/>
      <c r="O51" s="23"/>
      <c r="P51" s="23">
        <v>2000</v>
      </c>
      <c r="Q51" s="23">
        <v>1000</v>
      </c>
      <c r="R51" s="23"/>
      <c r="S51" s="23"/>
      <c r="T51" s="23"/>
      <c r="U51" s="23">
        <v>1320</v>
      </c>
      <c r="V51" s="16">
        <f t="shared" si="0"/>
        <v>73402</v>
      </c>
      <c r="W51" s="23">
        <v>1493</v>
      </c>
      <c r="X51" s="23">
        <v>340</v>
      </c>
      <c r="Y51" s="16">
        <f>Table1[[#This Row],[LOAD K.M]]+Table1[[#This Row],[EMPTY K.M]]</f>
        <v>1833</v>
      </c>
      <c r="Z51" s="16">
        <f>Table1[[#This Row],[INVOICE AMOUNT2]]-Table1[[#This Row],[Total Exp.]]</f>
        <v>74371</v>
      </c>
      <c r="AA51" s="12">
        <f>Table1[[#This Row],[Total Exp.]]/Table1[[#This Row],[Total k.m]]</f>
        <v>40.044735406437532</v>
      </c>
      <c r="AB51" s="17">
        <f>Table1[[#This Row],[Profit/loss]]/Table1[[#This Row],[Total k.m]]</f>
        <v>40.5733769776323</v>
      </c>
      <c r="AC51" s="12">
        <f>Table1[[#This Row],[INVOICE AMOUNT2]]/Table1[[#This Row],[Total k.m]]</f>
        <v>80.618112384069832</v>
      </c>
    </row>
    <row r="52" spans="1:29" x14ac:dyDescent="0.3">
      <c r="A52" s="18">
        <v>50</v>
      </c>
      <c r="B52" s="8" t="s">
        <v>155</v>
      </c>
      <c r="C52" s="12" t="s">
        <v>46</v>
      </c>
      <c r="D52" s="10">
        <v>45925</v>
      </c>
      <c r="E52" s="24" t="s">
        <v>156</v>
      </c>
      <c r="F52" s="12" t="s">
        <v>65</v>
      </c>
      <c r="G52" s="12" t="s">
        <v>66</v>
      </c>
      <c r="H52" s="12" t="s">
        <v>32</v>
      </c>
      <c r="I52" s="14">
        <v>8</v>
      </c>
      <c r="J52" s="15">
        <v>148056</v>
      </c>
      <c r="K52" s="21">
        <v>57840</v>
      </c>
      <c r="L52" s="12">
        <v>17570</v>
      </c>
      <c r="M52" s="12">
        <v>6000</v>
      </c>
      <c r="N52" s="12"/>
      <c r="O52" s="12"/>
      <c r="P52" s="12">
        <v>2000</v>
      </c>
      <c r="Q52" s="12">
        <v>1000</v>
      </c>
      <c r="R52" s="12"/>
      <c r="S52" s="12">
        <v>600</v>
      </c>
      <c r="T52" s="12"/>
      <c r="U52" s="12">
        <v>2860</v>
      </c>
      <c r="V52" s="16">
        <f t="shared" si="0"/>
        <v>87870</v>
      </c>
      <c r="W52" s="12">
        <v>1916</v>
      </c>
      <c r="X52" s="12">
        <v>173</v>
      </c>
      <c r="Y52" s="16">
        <f>Table1[[#This Row],[LOAD K.M]]+Table1[[#This Row],[EMPTY K.M]]</f>
        <v>2089</v>
      </c>
      <c r="Z52" s="16">
        <f>Table1[[#This Row],[INVOICE AMOUNT2]]-Table1[[#This Row],[Total Exp.]]</f>
        <v>60186</v>
      </c>
      <c r="AA52" s="12">
        <f>Table1[[#This Row],[Total Exp.]]/Table1[[#This Row],[Total k.m]]</f>
        <v>42.063188128291046</v>
      </c>
      <c r="AB52" s="17">
        <f>Table1[[#This Row],[Profit/loss]]/Table1[[#This Row],[Total k.m]]</f>
        <v>28.810914313068455</v>
      </c>
      <c r="AC52" s="12">
        <f>Table1[[#This Row],[INVOICE AMOUNT2]]/Table1[[#This Row],[Total k.m]]</f>
        <v>70.874102441359497</v>
      </c>
    </row>
    <row r="53" spans="1:29" x14ac:dyDescent="0.3">
      <c r="A53" s="7">
        <v>51</v>
      </c>
      <c r="B53" s="8" t="s">
        <v>157</v>
      </c>
      <c r="C53" s="12" t="s">
        <v>75</v>
      </c>
      <c r="D53" s="10">
        <v>45925</v>
      </c>
      <c r="E53" s="24" t="s">
        <v>156</v>
      </c>
      <c r="F53" s="12" t="s">
        <v>35</v>
      </c>
      <c r="G53" s="12" t="s">
        <v>158</v>
      </c>
      <c r="H53" s="12" t="s">
        <v>159</v>
      </c>
      <c r="I53" s="14">
        <v>6</v>
      </c>
      <c r="J53" s="15">
        <v>201306</v>
      </c>
      <c r="K53" s="23">
        <v>93244</v>
      </c>
      <c r="L53" s="23">
        <v>31942</v>
      </c>
      <c r="M53" s="23">
        <v>9000</v>
      </c>
      <c r="N53" s="23"/>
      <c r="O53" s="23"/>
      <c r="P53" s="23">
        <v>2000</v>
      </c>
      <c r="Q53" s="23">
        <v>1000</v>
      </c>
      <c r="R53" s="23"/>
      <c r="S53" s="23"/>
      <c r="T53" s="23">
        <v>900</v>
      </c>
      <c r="U53" s="23">
        <v>2640</v>
      </c>
      <c r="V53" s="16">
        <f t="shared" si="0"/>
        <v>140726</v>
      </c>
      <c r="W53" s="23">
        <v>2912</v>
      </c>
      <c r="X53" s="23">
        <v>514</v>
      </c>
      <c r="Y53" s="16">
        <f>Table1[[#This Row],[LOAD K.M]]+Table1[[#This Row],[EMPTY K.M]]</f>
        <v>3426</v>
      </c>
      <c r="Z53" s="16">
        <f>Table1[[#This Row],[INVOICE AMOUNT2]]-Table1[[#This Row],[Total Exp.]]</f>
        <v>60580</v>
      </c>
      <c r="AA53" s="12">
        <f>Table1[[#This Row],[Total Exp.]]/Table1[[#This Row],[Total k.m]]</f>
        <v>41.075890251021598</v>
      </c>
      <c r="AB53" s="17">
        <f>Table1[[#This Row],[Profit/loss]]/Table1[[#This Row],[Total k.m]]</f>
        <v>17.682428488032691</v>
      </c>
      <c r="AC53" s="12">
        <f>Table1[[#This Row],[INVOICE AMOUNT2]]/Table1[[#This Row],[Total k.m]]</f>
        <v>58.758318739054289</v>
      </c>
    </row>
    <row r="54" spans="1:29" x14ac:dyDescent="0.3">
      <c r="A54" s="18">
        <v>52</v>
      </c>
      <c r="B54" s="25" t="s">
        <v>160</v>
      </c>
      <c r="C54" s="12" t="s">
        <v>105</v>
      </c>
      <c r="D54" s="10">
        <v>45925</v>
      </c>
      <c r="E54" s="24" t="s">
        <v>156</v>
      </c>
      <c r="F54" s="12" t="s">
        <v>65</v>
      </c>
      <c r="G54" s="12" t="s">
        <v>66</v>
      </c>
      <c r="H54" s="12" t="s">
        <v>36</v>
      </c>
      <c r="I54" s="14">
        <v>8</v>
      </c>
      <c r="J54" s="15">
        <v>98208</v>
      </c>
      <c r="K54" s="21">
        <v>36289</v>
      </c>
      <c r="L54" s="21">
        <v>10748.3</v>
      </c>
      <c r="M54" s="12">
        <v>4500</v>
      </c>
      <c r="N54" s="12"/>
      <c r="O54" s="12"/>
      <c r="P54" s="12">
        <v>2000</v>
      </c>
      <c r="Q54" s="12">
        <v>1000</v>
      </c>
      <c r="R54" s="12"/>
      <c r="S54" s="12">
        <v>900</v>
      </c>
      <c r="T54" s="12"/>
      <c r="U54" s="12"/>
      <c r="V54" s="16">
        <f t="shared" si="0"/>
        <v>55437.3</v>
      </c>
      <c r="W54" s="12">
        <v>1287</v>
      </c>
      <c r="X54" s="12"/>
      <c r="Y54" s="16">
        <f>Table1[[#This Row],[LOAD K.M]]+Table1[[#This Row],[EMPTY K.M]]</f>
        <v>1287</v>
      </c>
      <c r="Z54" s="16">
        <f>Table1[[#This Row],[INVOICE AMOUNT2]]-Table1[[#This Row],[Total Exp.]]</f>
        <v>42770.7</v>
      </c>
      <c r="AA54" s="12">
        <f>Table1[[#This Row],[Total Exp.]]/Table1[[#This Row],[Total k.m]]</f>
        <v>43.074825174825179</v>
      </c>
      <c r="AB54" s="17">
        <f>Table1[[#This Row],[Profit/loss]]/Table1[[#This Row],[Total k.m]]</f>
        <v>33.232867132867128</v>
      </c>
      <c r="AC54" s="12">
        <f>Table1[[#This Row],[INVOICE AMOUNT2]]/Table1[[#This Row],[Total k.m]]</f>
        <v>76.307692307692307</v>
      </c>
    </row>
    <row r="55" spans="1:29" x14ac:dyDescent="0.3">
      <c r="A55" s="7">
        <v>53</v>
      </c>
      <c r="B55" s="25" t="s">
        <v>161</v>
      </c>
      <c r="C55" s="13" t="s">
        <v>63</v>
      </c>
      <c r="D55" s="10">
        <v>45925</v>
      </c>
      <c r="E55" s="11" t="s">
        <v>162</v>
      </c>
      <c r="F55" s="13" t="s">
        <v>65</v>
      </c>
      <c r="G55" s="13" t="s">
        <v>66</v>
      </c>
      <c r="H55" s="13" t="s">
        <v>163</v>
      </c>
      <c r="I55" s="14">
        <v>7</v>
      </c>
      <c r="J55" s="14">
        <v>80376</v>
      </c>
      <c r="K55" s="29">
        <v>24852</v>
      </c>
      <c r="L55" s="30">
        <v>7175</v>
      </c>
      <c r="M55" s="30">
        <v>3500</v>
      </c>
      <c r="N55" s="30"/>
      <c r="O55" s="30">
        <v>1861</v>
      </c>
      <c r="P55" s="30">
        <v>2000</v>
      </c>
      <c r="Q55" s="30">
        <v>1000</v>
      </c>
      <c r="R55" s="30"/>
      <c r="S55" s="30">
        <v>450</v>
      </c>
      <c r="T55" s="30">
        <v>1000</v>
      </c>
      <c r="U55" s="30">
        <v>1320</v>
      </c>
      <c r="V55" s="16">
        <f t="shared" si="0"/>
        <v>43158</v>
      </c>
      <c r="W55" s="30">
        <v>670</v>
      </c>
      <c r="X55" s="30">
        <v>233</v>
      </c>
      <c r="Y55" s="16">
        <f>Table1[[#This Row],[LOAD K.M]]+Table1[[#This Row],[EMPTY K.M]]</f>
        <v>903</v>
      </c>
      <c r="Z55" s="16">
        <f>Table1[[#This Row],[INVOICE AMOUNT2]]-Table1[[#This Row],[Total Exp.]]</f>
        <v>37218</v>
      </c>
      <c r="AA55" s="13">
        <f>Table1[[#This Row],[Total Exp.]]/Table1[[#This Row],[Total k.m]]</f>
        <v>47.794019933554814</v>
      </c>
      <c r="AB55" s="26">
        <f>Table1[[#This Row],[Profit/loss]]/Table1[[#This Row],[Total k.m]]</f>
        <v>41.215946843853821</v>
      </c>
      <c r="AC55" s="12">
        <f>Table1[[#This Row],[INVOICE AMOUNT2]]/Table1[[#This Row],[Total k.m]]</f>
        <v>89.009966777408636</v>
      </c>
    </row>
    <row r="56" spans="1:29" x14ac:dyDescent="0.3">
      <c r="A56" s="18">
        <v>54</v>
      </c>
      <c r="B56" s="25" t="s">
        <v>164</v>
      </c>
      <c r="C56" s="12" t="s">
        <v>109</v>
      </c>
      <c r="D56" s="10">
        <v>45925</v>
      </c>
      <c r="E56" s="24" t="s">
        <v>165</v>
      </c>
      <c r="F56" s="12" t="s">
        <v>65</v>
      </c>
      <c r="G56" s="12" t="s">
        <v>66</v>
      </c>
      <c r="H56" s="12" t="s">
        <v>154</v>
      </c>
      <c r="I56" s="14">
        <v>8</v>
      </c>
      <c r="J56" s="15">
        <v>179696</v>
      </c>
      <c r="K56" s="21">
        <v>80895</v>
      </c>
      <c r="L56" s="12">
        <v>24709</v>
      </c>
      <c r="M56" s="12">
        <v>10500</v>
      </c>
      <c r="N56" s="12"/>
      <c r="O56" s="12"/>
      <c r="P56" s="12">
        <v>2000</v>
      </c>
      <c r="Q56" s="12">
        <v>1000</v>
      </c>
      <c r="R56" s="12"/>
      <c r="S56" s="12">
        <v>900</v>
      </c>
      <c r="T56" s="12"/>
      <c r="U56" s="12">
        <v>1320</v>
      </c>
      <c r="V56" s="16">
        <f t="shared" si="0"/>
        <v>121324</v>
      </c>
      <c r="W56" s="12">
        <v>2112</v>
      </c>
      <c r="X56" s="12">
        <v>872</v>
      </c>
      <c r="Y56" s="16">
        <f>Table1[[#This Row],[LOAD K.M]]+Table1[[#This Row],[EMPTY K.M]]</f>
        <v>2984</v>
      </c>
      <c r="Z56" s="16">
        <f>Table1[[#This Row],[INVOICE AMOUNT2]]-Table1[[#This Row],[Total Exp.]]</f>
        <v>58372</v>
      </c>
      <c r="AA56" s="12">
        <f>Table1[[#This Row],[Total Exp.]]/Table1[[#This Row],[Total k.m]]</f>
        <v>40.658176943699729</v>
      </c>
      <c r="AB56" s="17">
        <f>Table1[[#This Row],[Profit/loss]]/Table1[[#This Row],[Total k.m]]</f>
        <v>19.561662198391421</v>
      </c>
      <c r="AC56" s="12">
        <f>Table1[[#This Row],[INVOICE AMOUNT2]]/Table1[[#This Row],[Total k.m]]</f>
        <v>60.219839142091153</v>
      </c>
    </row>
    <row r="57" spans="1:29" x14ac:dyDescent="0.3">
      <c r="A57" s="7">
        <v>55</v>
      </c>
      <c r="B57" s="8" t="s">
        <v>166</v>
      </c>
      <c r="C57" s="12" t="s">
        <v>98</v>
      </c>
      <c r="D57" s="10">
        <v>45925</v>
      </c>
      <c r="E57" s="24" t="s">
        <v>167</v>
      </c>
      <c r="F57" s="12" t="s">
        <v>35</v>
      </c>
      <c r="G57" s="12" t="s">
        <v>36</v>
      </c>
      <c r="H57" s="12" t="s">
        <v>154</v>
      </c>
      <c r="I57" s="14">
        <v>8</v>
      </c>
      <c r="J57" s="15">
        <v>142970</v>
      </c>
      <c r="K57" s="23">
        <v>49481</v>
      </c>
      <c r="L57" s="23">
        <v>25218</v>
      </c>
      <c r="M57" s="23">
        <v>4000</v>
      </c>
      <c r="N57" s="23"/>
      <c r="O57" s="23"/>
      <c r="P57" s="23">
        <v>2000</v>
      </c>
      <c r="Q57" s="23">
        <v>1000</v>
      </c>
      <c r="R57" s="23"/>
      <c r="S57" s="23"/>
      <c r="T57" s="23">
        <v>1000</v>
      </c>
      <c r="U57" s="23">
        <v>2640</v>
      </c>
      <c r="V57" s="16">
        <f t="shared" si="0"/>
        <v>85339</v>
      </c>
      <c r="W57" s="23">
        <v>1475</v>
      </c>
      <c r="X57" s="23">
        <v>367</v>
      </c>
      <c r="Y57" s="16">
        <f>Table1[[#This Row],[LOAD K.M]]+Table1[[#This Row],[EMPTY K.M]]</f>
        <v>1842</v>
      </c>
      <c r="Z57" s="16">
        <f>Table1[[#This Row],[INVOICE AMOUNT2]]-Table1[[#This Row],[Total Exp.]]</f>
        <v>57631</v>
      </c>
      <c r="AA57" s="12">
        <f>Table1[[#This Row],[Total Exp.]]/Table1[[#This Row],[Total k.m]]</f>
        <v>46.329533116178069</v>
      </c>
      <c r="AB57" s="17">
        <f>Table1[[#This Row],[Profit/loss]]/Table1[[#This Row],[Total k.m]]</f>
        <v>31.287187839305105</v>
      </c>
      <c r="AC57" s="12">
        <f>Table1[[#This Row],[INVOICE AMOUNT2]]/Table1[[#This Row],[Total k.m]]</f>
        <v>77.616720955483174</v>
      </c>
    </row>
    <row r="58" spans="1:29" x14ac:dyDescent="0.3">
      <c r="A58" s="18">
        <v>56</v>
      </c>
      <c r="B58" s="8" t="s">
        <v>168</v>
      </c>
      <c r="C58" s="12" t="s">
        <v>72</v>
      </c>
      <c r="D58" s="10">
        <v>45925</v>
      </c>
      <c r="E58" s="24" t="s">
        <v>169</v>
      </c>
      <c r="F58" s="12" t="s">
        <v>35</v>
      </c>
      <c r="G58" s="12" t="s">
        <v>99</v>
      </c>
      <c r="H58" s="12" t="s">
        <v>170</v>
      </c>
      <c r="I58" s="14">
        <v>8</v>
      </c>
      <c r="J58" s="15">
        <v>114888</v>
      </c>
      <c r="K58" s="21">
        <v>40780</v>
      </c>
      <c r="L58" s="12">
        <v>15983</v>
      </c>
      <c r="M58" s="12">
        <v>4000</v>
      </c>
      <c r="N58" s="12"/>
      <c r="O58" s="12">
        <v>300</v>
      </c>
      <c r="P58" s="12">
        <v>2000</v>
      </c>
      <c r="Q58" s="12">
        <v>1000</v>
      </c>
      <c r="R58" s="12"/>
      <c r="S58" s="12">
        <v>150</v>
      </c>
      <c r="T58" s="12"/>
      <c r="U58" s="12">
        <v>1320</v>
      </c>
      <c r="V58" s="16">
        <f t="shared" si="0"/>
        <v>65533</v>
      </c>
      <c r="W58" s="12">
        <v>1442</v>
      </c>
      <c r="X58" s="12">
        <v>93</v>
      </c>
      <c r="Y58" s="16">
        <f>Table1[[#This Row],[LOAD K.M]]+Table1[[#This Row],[EMPTY K.M]]</f>
        <v>1535</v>
      </c>
      <c r="Z58" s="16">
        <f>Table1[[#This Row],[INVOICE AMOUNT2]]-Table1[[#This Row],[Total Exp.]]</f>
        <v>49355</v>
      </c>
      <c r="AA58" s="12">
        <f>Table1[[#This Row],[Total Exp.]]/Table1[[#This Row],[Total k.m]]</f>
        <v>42.692508143322478</v>
      </c>
      <c r="AB58" s="17">
        <f>Table1[[#This Row],[Profit/loss]]/Table1[[#This Row],[Total k.m]]</f>
        <v>32.153094462540714</v>
      </c>
      <c r="AC58" s="12">
        <f>Table1[[#This Row],[INVOICE AMOUNT2]]/Table1[[#This Row],[Total k.m]]</f>
        <v>74.845602605863192</v>
      </c>
    </row>
    <row r="59" spans="1:29" x14ac:dyDescent="0.3">
      <c r="A59" s="7">
        <v>57</v>
      </c>
      <c r="B59" s="8" t="s">
        <v>171</v>
      </c>
      <c r="C59" s="12" t="s">
        <v>46</v>
      </c>
      <c r="D59" s="10">
        <v>45925</v>
      </c>
      <c r="E59" s="24" t="s">
        <v>169</v>
      </c>
      <c r="F59" s="12" t="s">
        <v>42</v>
      </c>
      <c r="G59" s="12" t="s">
        <v>43</v>
      </c>
      <c r="H59" s="12" t="s">
        <v>55</v>
      </c>
      <c r="I59" s="14">
        <v>6</v>
      </c>
      <c r="J59" s="15">
        <v>49551</v>
      </c>
      <c r="K59" s="21">
        <v>20153</v>
      </c>
      <c r="L59" s="23">
        <v>5958</v>
      </c>
      <c r="M59" s="23">
        <v>1500</v>
      </c>
      <c r="N59" s="23"/>
      <c r="O59" s="23"/>
      <c r="P59" s="23">
        <v>2000</v>
      </c>
      <c r="Q59" s="23">
        <v>1000</v>
      </c>
      <c r="R59" s="23"/>
      <c r="S59" s="23">
        <v>200</v>
      </c>
      <c r="T59" s="23"/>
      <c r="U59" s="23"/>
      <c r="V59" s="16">
        <f t="shared" si="0"/>
        <v>30811</v>
      </c>
      <c r="W59" s="23">
        <v>721</v>
      </c>
      <c r="X59" s="23">
        <v>17</v>
      </c>
      <c r="Y59" s="16">
        <f>Table1[[#This Row],[LOAD K.M]]+Table1[[#This Row],[EMPTY K.M]]</f>
        <v>738</v>
      </c>
      <c r="Z59" s="16">
        <f>Table1[[#This Row],[INVOICE AMOUNT2]]-Table1[[#This Row],[Total Exp.]]</f>
        <v>18740</v>
      </c>
      <c r="AA59" s="12">
        <f>Table1[[#This Row],[Total Exp.]]/Table1[[#This Row],[Total k.m]]</f>
        <v>41.74932249322493</v>
      </c>
      <c r="AB59" s="17">
        <f>Table1[[#This Row],[Profit/loss]]/Table1[[#This Row],[Total k.m]]</f>
        <v>25.392953929539296</v>
      </c>
      <c r="AC59" s="12">
        <f>Table1[[#This Row],[INVOICE AMOUNT2]]/Table1[[#This Row],[Total k.m]]</f>
        <v>67.142276422764226</v>
      </c>
    </row>
    <row r="60" spans="1:29" x14ac:dyDescent="0.3">
      <c r="A60" s="18">
        <v>58</v>
      </c>
      <c r="B60" s="25" t="s">
        <v>172</v>
      </c>
      <c r="C60" s="12" t="s">
        <v>87</v>
      </c>
      <c r="D60" s="10">
        <v>45925</v>
      </c>
      <c r="E60" s="24" t="s">
        <v>173</v>
      </c>
      <c r="F60" s="12" t="s">
        <v>30</v>
      </c>
      <c r="G60" s="12" t="s">
        <v>31</v>
      </c>
      <c r="H60" s="12" t="s">
        <v>32</v>
      </c>
      <c r="I60" s="14">
        <v>6</v>
      </c>
      <c r="J60" s="15">
        <v>35000</v>
      </c>
      <c r="K60" s="27">
        <v>30315</v>
      </c>
      <c r="L60" s="12">
        <v>10675</v>
      </c>
      <c r="M60" s="12">
        <v>3000</v>
      </c>
      <c r="N60" s="12"/>
      <c r="O60" s="12"/>
      <c r="P60" s="12"/>
      <c r="Q60" s="12">
        <v>1000</v>
      </c>
      <c r="R60" s="12"/>
      <c r="S60" s="12">
        <v>1000</v>
      </c>
      <c r="T60" s="12">
        <v>600</v>
      </c>
      <c r="U60" s="12"/>
      <c r="V60" s="16">
        <f t="shared" si="0"/>
        <v>46590</v>
      </c>
      <c r="W60" s="12">
        <v>1067</v>
      </c>
      <c r="X60" s="12">
        <v>80</v>
      </c>
      <c r="Y60" s="16">
        <f>Table1[[#This Row],[LOAD K.M]]+Table1[[#This Row],[EMPTY K.M]]</f>
        <v>1147</v>
      </c>
      <c r="Z60" s="16">
        <f>Table1[[#This Row],[INVOICE AMOUNT2]]-Table1[[#This Row],[Total Exp.]]</f>
        <v>-11590</v>
      </c>
      <c r="AA60" s="12">
        <f>Table1[[#This Row],[Total Exp.]]/Table1[[#This Row],[Total k.m]]</f>
        <v>40.619006102877073</v>
      </c>
      <c r="AB60" s="17">
        <f>Table1[[#This Row],[Profit/loss]]/Table1[[#This Row],[Total k.m]]</f>
        <v>-10.10462074978204</v>
      </c>
      <c r="AC60" s="12">
        <f>Table1[[#This Row],[INVOICE AMOUNT2]]/Table1[[#This Row],[Total k.m]]</f>
        <v>30.51438535309503</v>
      </c>
    </row>
    <row r="61" spans="1:29" x14ac:dyDescent="0.3">
      <c r="A61" s="7">
        <v>59</v>
      </c>
      <c r="B61" s="8" t="s">
        <v>174</v>
      </c>
      <c r="C61" s="12" t="s">
        <v>82</v>
      </c>
      <c r="D61" s="10">
        <v>45925</v>
      </c>
      <c r="E61" s="24" t="s">
        <v>173</v>
      </c>
      <c r="F61" s="12" t="s">
        <v>113</v>
      </c>
      <c r="G61" s="12" t="s">
        <v>114</v>
      </c>
      <c r="H61" s="12" t="s">
        <v>175</v>
      </c>
      <c r="I61" s="14" t="s">
        <v>176</v>
      </c>
      <c r="J61" s="15">
        <v>112952</v>
      </c>
      <c r="K61" s="21">
        <v>48065</v>
      </c>
      <c r="L61" s="23">
        <v>13988</v>
      </c>
      <c r="M61" s="23">
        <v>5300</v>
      </c>
      <c r="N61" s="23"/>
      <c r="O61" s="23"/>
      <c r="P61" s="23">
        <v>2000</v>
      </c>
      <c r="Q61" s="23">
        <v>1000</v>
      </c>
      <c r="R61" s="23"/>
      <c r="S61" s="23">
        <v>1010</v>
      </c>
      <c r="T61" s="23">
        <v>520</v>
      </c>
      <c r="U61" s="23">
        <v>1270</v>
      </c>
      <c r="V61" s="16">
        <f t="shared" si="0"/>
        <v>73153</v>
      </c>
      <c r="W61" s="23">
        <v>1563</v>
      </c>
      <c r="X61" s="23">
        <v>161</v>
      </c>
      <c r="Y61" s="16">
        <f>Table1[[#This Row],[LOAD K.M]]+Table1[[#This Row],[EMPTY K.M]]</f>
        <v>1724</v>
      </c>
      <c r="Z61" s="16">
        <f>Table1[[#This Row],[INVOICE AMOUNT2]]-Table1[[#This Row],[Total Exp.]]</f>
        <v>39799</v>
      </c>
      <c r="AA61" s="12">
        <f>Table1[[#This Row],[Total Exp.]]/Table1[[#This Row],[Total k.m]]</f>
        <v>42.432134570765662</v>
      </c>
      <c r="AB61" s="17">
        <f>Table1[[#This Row],[Profit/loss]]/Table1[[#This Row],[Total k.m]]</f>
        <v>23.085266821345709</v>
      </c>
      <c r="AC61" s="12">
        <f>Table1[[#This Row],[INVOICE AMOUNT2]]/Table1[[#This Row],[Total k.m]]</f>
        <v>65.517401392111367</v>
      </c>
    </row>
    <row r="62" spans="1:29" x14ac:dyDescent="0.3">
      <c r="A62" s="18">
        <v>60</v>
      </c>
      <c r="B62" s="8" t="s">
        <v>177</v>
      </c>
      <c r="C62" s="12" t="s">
        <v>77</v>
      </c>
      <c r="D62" s="10">
        <v>45925</v>
      </c>
      <c r="E62" s="24" t="s">
        <v>173</v>
      </c>
      <c r="F62" s="12" t="s">
        <v>178</v>
      </c>
      <c r="G62" s="12" t="s">
        <v>36</v>
      </c>
      <c r="H62" s="12" t="s">
        <v>179</v>
      </c>
      <c r="I62" s="14">
        <v>6</v>
      </c>
      <c r="J62" s="31">
        <v>412607</v>
      </c>
      <c r="K62" s="21">
        <v>137783</v>
      </c>
      <c r="L62" s="12">
        <v>52211</v>
      </c>
      <c r="M62" s="12">
        <v>27000</v>
      </c>
      <c r="N62" s="12"/>
      <c r="O62" s="12"/>
      <c r="P62" s="12">
        <v>2000</v>
      </c>
      <c r="Q62" s="12">
        <v>2000</v>
      </c>
      <c r="R62" s="12"/>
      <c r="S62" s="12">
        <v>2700</v>
      </c>
      <c r="T62" s="12"/>
      <c r="U62" s="12">
        <v>2640</v>
      </c>
      <c r="V62" s="16">
        <f t="shared" si="0"/>
        <v>226334</v>
      </c>
      <c r="W62" s="32">
        <v>4668</v>
      </c>
      <c r="X62" s="12">
        <v>441</v>
      </c>
      <c r="Y62" s="16">
        <f>Table1[[#This Row],[LOAD K.M]]+Table1[[#This Row],[EMPTY K.M]]</f>
        <v>5109</v>
      </c>
      <c r="Z62" s="16">
        <f>Table1[[#This Row],[INVOICE AMOUNT2]]-Table1[[#This Row],[Total Exp.]]</f>
        <v>186273</v>
      </c>
      <c r="AA62" s="12">
        <f>Table1[[#This Row],[Total Exp.]]/Table1[[#This Row],[Total k.m]]</f>
        <v>44.30103738500685</v>
      </c>
      <c r="AB62" s="17">
        <f>Table1[[#This Row],[Profit/loss]]/Table1[[#This Row],[Total k.m]]</f>
        <v>36.459776864357018</v>
      </c>
      <c r="AC62" s="12">
        <f>Table1[[#This Row],[INVOICE AMOUNT2]]/Table1[[#This Row],[Total k.m]]</f>
        <v>80.760814249363861</v>
      </c>
    </row>
    <row r="63" spans="1:29" x14ac:dyDescent="0.3">
      <c r="A63" s="7">
        <v>61</v>
      </c>
      <c r="B63" s="8" t="s">
        <v>180</v>
      </c>
      <c r="C63" s="12" t="s">
        <v>29</v>
      </c>
      <c r="D63" s="10">
        <v>45925</v>
      </c>
      <c r="E63" s="24" t="s">
        <v>173</v>
      </c>
      <c r="F63" s="12" t="s">
        <v>178</v>
      </c>
      <c r="G63" s="12" t="s">
        <v>36</v>
      </c>
      <c r="H63" s="12" t="s">
        <v>100</v>
      </c>
      <c r="I63" s="14">
        <v>6</v>
      </c>
      <c r="J63" s="33">
        <v>424140</v>
      </c>
      <c r="K63" s="21">
        <v>135371</v>
      </c>
      <c r="L63" s="23">
        <v>50053</v>
      </c>
      <c r="M63" s="23">
        <v>27000</v>
      </c>
      <c r="N63" s="23"/>
      <c r="O63" s="23"/>
      <c r="P63" s="23">
        <v>2000</v>
      </c>
      <c r="Q63" s="23">
        <v>3000</v>
      </c>
      <c r="R63" s="23"/>
      <c r="S63" s="23">
        <v>2000</v>
      </c>
      <c r="T63" s="23">
        <v>218</v>
      </c>
      <c r="U63" s="23">
        <v>2640</v>
      </c>
      <c r="V63" s="16">
        <f t="shared" si="0"/>
        <v>222282</v>
      </c>
      <c r="W63" s="23">
        <v>4630</v>
      </c>
      <c r="X63" s="23">
        <v>385</v>
      </c>
      <c r="Y63" s="16">
        <f>Table1[[#This Row],[LOAD K.M]]+Table1[[#This Row],[EMPTY K.M]]</f>
        <v>5015</v>
      </c>
      <c r="Z63" s="16">
        <f>Table1[[#This Row],[INVOICE AMOUNT2]]-Table1[[#This Row],[Total Exp.]]</f>
        <v>201858</v>
      </c>
      <c r="AA63" s="12">
        <f>Table1[[#This Row],[Total Exp.]]/Table1[[#This Row],[Total k.m]]</f>
        <v>44.323429710867401</v>
      </c>
      <c r="AB63" s="17">
        <f>Table1[[#This Row],[Profit/loss]]/Table1[[#This Row],[Total k.m]]</f>
        <v>40.250847457627117</v>
      </c>
      <c r="AC63" s="12">
        <f>Table1[[#This Row],[INVOICE AMOUNT2]]/Table1[[#This Row],[Total k.m]]</f>
        <v>84.574277168494518</v>
      </c>
    </row>
    <row r="64" spans="1:29" x14ac:dyDescent="0.3">
      <c r="A64" s="18">
        <v>62</v>
      </c>
      <c r="B64" s="8" t="s">
        <v>181</v>
      </c>
      <c r="C64" s="12" t="s">
        <v>34</v>
      </c>
      <c r="D64" s="10">
        <v>45925</v>
      </c>
      <c r="E64" s="24" t="s">
        <v>173</v>
      </c>
      <c r="F64" s="12" t="s">
        <v>178</v>
      </c>
      <c r="G64" s="12" t="s">
        <v>36</v>
      </c>
      <c r="H64" s="12" t="s">
        <v>182</v>
      </c>
      <c r="I64" s="14">
        <v>6</v>
      </c>
      <c r="J64" s="15">
        <v>408162</v>
      </c>
      <c r="K64" s="21">
        <v>127335</v>
      </c>
      <c r="L64" s="12">
        <v>48993</v>
      </c>
      <c r="M64" s="12">
        <v>24500</v>
      </c>
      <c r="N64" s="12"/>
      <c r="O64" s="12"/>
      <c r="P64" s="12">
        <v>2000</v>
      </c>
      <c r="Q64" s="12">
        <v>2000</v>
      </c>
      <c r="R64" s="12"/>
      <c r="S64" s="12">
        <v>1800</v>
      </c>
      <c r="T64" s="12"/>
      <c r="U64" s="12">
        <v>5320</v>
      </c>
      <c r="V64" s="16">
        <f t="shared" si="0"/>
        <v>211948</v>
      </c>
      <c r="W64" s="12">
        <v>4582</v>
      </c>
      <c r="X64" s="12">
        <v>58</v>
      </c>
      <c r="Y64" s="16">
        <f>Table1[[#This Row],[LOAD K.M]]+Table1[[#This Row],[EMPTY K.M]]</f>
        <v>4640</v>
      </c>
      <c r="Z64" s="16">
        <f>Table1[[#This Row],[INVOICE AMOUNT2]]-Table1[[#This Row],[Total Exp.]]</f>
        <v>196214</v>
      </c>
      <c r="AA64" s="12">
        <f>Table1[[#This Row],[Total Exp.]]/Table1[[#This Row],[Total k.m]]</f>
        <v>45.678448275862067</v>
      </c>
      <c r="AB64" s="17">
        <f>Table1[[#This Row],[Profit/loss]]/Table1[[#This Row],[Total k.m]]</f>
        <v>42.287500000000001</v>
      </c>
      <c r="AC64" s="12">
        <f>Table1[[#This Row],[INVOICE AMOUNT2]]/Table1[[#This Row],[Total k.m]]</f>
        <v>87.965948275862075</v>
      </c>
    </row>
    <row r="65" spans="1:29" x14ac:dyDescent="0.3">
      <c r="A65" s="7">
        <v>63</v>
      </c>
      <c r="B65" s="8" t="s">
        <v>183</v>
      </c>
      <c r="C65" s="12" t="s">
        <v>102</v>
      </c>
      <c r="D65" s="10">
        <v>45925</v>
      </c>
      <c r="E65" s="24" t="s">
        <v>173</v>
      </c>
      <c r="F65" s="12" t="s">
        <v>178</v>
      </c>
      <c r="G65" s="12" t="s">
        <v>36</v>
      </c>
      <c r="H65" s="12" t="s">
        <v>182</v>
      </c>
      <c r="I65" s="14">
        <v>6</v>
      </c>
      <c r="J65" s="33">
        <v>390338</v>
      </c>
      <c r="K65" s="21">
        <v>132113</v>
      </c>
      <c r="L65" s="23">
        <v>50263</v>
      </c>
      <c r="M65" s="23">
        <v>27000</v>
      </c>
      <c r="N65" s="23"/>
      <c r="O65" s="23"/>
      <c r="P65" s="23">
        <v>2000</v>
      </c>
      <c r="Q65" s="23">
        <v>2000</v>
      </c>
      <c r="R65" s="23"/>
      <c r="S65" s="23">
        <v>2500</v>
      </c>
      <c r="T65" s="23"/>
      <c r="U65" s="23">
        <v>2640</v>
      </c>
      <c r="V65" s="16">
        <f t="shared" si="0"/>
        <v>218516</v>
      </c>
      <c r="W65" s="23">
        <v>4552</v>
      </c>
      <c r="X65" s="23">
        <v>331</v>
      </c>
      <c r="Y65" s="16">
        <f>Table1[[#This Row],[LOAD K.M]]+Table1[[#This Row],[EMPTY K.M]]</f>
        <v>4883</v>
      </c>
      <c r="Z65" s="16">
        <f>Table1[[#This Row],[INVOICE AMOUNT2]]-Table1[[#This Row],[Total Exp.]]</f>
        <v>171822</v>
      </c>
      <c r="AA65" s="12">
        <f>Table1[[#This Row],[Total Exp.]]/Table1[[#This Row],[Total k.m]]</f>
        <v>44.75035838623797</v>
      </c>
      <c r="AB65" s="17">
        <f>Table1[[#This Row],[Profit/loss]]/Table1[[#This Row],[Total k.m]]</f>
        <v>35.187794388695472</v>
      </c>
      <c r="AC65" s="12">
        <f>Table1[[#This Row],[INVOICE AMOUNT2]]/Table1[[#This Row],[Total k.m]]</f>
        <v>79.938152774933442</v>
      </c>
    </row>
    <row r="66" spans="1:29" x14ac:dyDescent="0.3">
      <c r="A66" s="18">
        <v>64</v>
      </c>
      <c r="B66" s="8" t="s">
        <v>184</v>
      </c>
      <c r="C66" s="12" t="s">
        <v>39</v>
      </c>
      <c r="D66" s="10">
        <v>45925</v>
      </c>
      <c r="E66" s="24" t="s">
        <v>173</v>
      </c>
      <c r="F66" s="12" t="s">
        <v>65</v>
      </c>
      <c r="G66" s="12" t="s">
        <v>66</v>
      </c>
      <c r="H66" s="12" t="s">
        <v>32</v>
      </c>
      <c r="I66" s="14">
        <v>8</v>
      </c>
      <c r="J66" s="15">
        <v>142067</v>
      </c>
      <c r="K66" s="21">
        <v>53299</v>
      </c>
      <c r="L66" s="22">
        <v>18540</v>
      </c>
      <c r="M66" s="12">
        <v>6000</v>
      </c>
      <c r="N66" s="12"/>
      <c r="O66" s="12">
        <v>1770</v>
      </c>
      <c r="P66" s="12">
        <v>2000</v>
      </c>
      <c r="Q66" s="12">
        <v>1000</v>
      </c>
      <c r="R66" s="12"/>
      <c r="S66" s="12">
        <v>4050</v>
      </c>
      <c r="T66" s="12">
        <v>1500</v>
      </c>
      <c r="U66" s="12">
        <v>2580</v>
      </c>
      <c r="V66" s="16">
        <f t="shared" si="0"/>
        <v>90739</v>
      </c>
      <c r="W66" s="12">
        <v>1807</v>
      </c>
      <c r="X66" s="12">
        <v>137</v>
      </c>
      <c r="Y66" s="16">
        <f>Table1[[#This Row],[LOAD K.M]]+Table1[[#This Row],[EMPTY K.M]]</f>
        <v>1944</v>
      </c>
      <c r="Z66" s="16">
        <f>Table1[[#This Row],[INVOICE AMOUNT2]]-Table1[[#This Row],[Total Exp.]]</f>
        <v>51328</v>
      </c>
      <c r="AA66" s="12">
        <f>Table1[[#This Row],[Total Exp.]]/Table1[[#This Row],[Total k.m]]</f>
        <v>46.67644032921811</v>
      </c>
      <c r="AB66" s="17">
        <f>Table1[[#This Row],[Profit/loss]]/Table1[[#This Row],[Total k.m]]</f>
        <v>26.403292181069958</v>
      </c>
      <c r="AC66" s="12">
        <f>Table1[[#This Row],[INVOICE AMOUNT2]]/Table1[[#This Row],[Total k.m]]</f>
        <v>73.079732510288068</v>
      </c>
    </row>
    <row r="67" spans="1:29" x14ac:dyDescent="0.3">
      <c r="A67" s="7">
        <v>65</v>
      </c>
      <c r="B67" s="25" t="s">
        <v>185</v>
      </c>
      <c r="C67" s="12" t="s">
        <v>134</v>
      </c>
      <c r="D67" s="10">
        <v>45925</v>
      </c>
      <c r="E67" s="24" t="s">
        <v>186</v>
      </c>
      <c r="F67" s="12" t="s">
        <v>178</v>
      </c>
      <c r="G67" s="12" t="s">
        <v>36</v>
      </c>
      <c r="H67" s="12" t="s">
        <v>187</v>
      </c>
      <c r="I67" s="14">
        <v>6</v>
      </c>
      <c r="J67" s="33">
        <v>207595</v>
      </c>
      <c r="K67" s="21">
        <v>94969</v>
      </c>
      <c r="L67" s="34">
        <v>34744.300000000003</v>
      </c>
      <c r="M67" s="23">
        <v>17000</v>
      </c>
      <c r="N67" s="23"/>
      <c r="O67" s="23"/>
      <c r="P67" s="23">
        <v>2000</v>
      </c>
      <c r="Q67" s="23">
        <v>1000</v>
      </c>
      <c r="R67" s="23"/>
      <c r="S67" s="23">
        <v>2000</v>
      </c>
      <c r="T67" s="23"/>
      <c r="U67" s="23">
        <v>2500</v>
      </c>
      <c r="V67" s="16">
        <f t="shared" si="0"/>
        <v>154213.29999999999</v>
      </c>
      <c r="W67" s="23">
        <v>3220</v>
      </c>
      <c r="X67" s="23">
        <v>256</v>
      </c>
      <c r="Y67" s="16">
        <f>Table1[[#This Row],[LOAD K.M]]+Table1[[#This Row],[EMPTY K.M]]</f>
        <v>3476</v>
      </c>
      <c r="Z67" s="16">
        <f>Table1[[#This Row],[INVOICE AMOUNT2]]-Table1[[#This Row],[Total Exp.]]</f>
        <v>53381.700000000012</v>
      </c>
      <c r="AA67" s="12">
        <f>Table1[[#This Row],[Total Exp.]]/Table1[[#This Row],[Total k.m]]</f>
        <v>44.365161104718062</v>
      </c>
      <c r="AB67" s="17">
        <f>Table1[[#This Row],[Profit/loss]]/Table1[[#This Row],[Total k.m]]</f>
        <v>15.357220943613353</v>
      </c>
      <c r="AC67" s="12">
        <f>Table1[[#This Row],[INVOICE AMOUNT2]]/Table1[[#This Row],[Total k.m]]</f>
        <v>59.722382048331419</v>
      </c>
    </row>
    <row r="68" spans="1:29" x14ac:dyDescent="0.3">
      <c r="A68" s="18">
        <v>66</v>
      </c>
      <c r="B68" s="8" t="s">
        <v>188</v>
      </c>
      <c r="C68" s="12" t="s">
        <v>46</v>
      </c>
      <c r="D68" s="10">
        <v>45925</v>
      </c>
      <c r="E68" s="24" t="s">
        <v>186</v>
      </c>
      <c r="F68" s="12" t="s">
        <v>178</v>
      </c>
      <c r="G68" s="12" t="s">
        <v>36</v>
      </c>
      <c r="H68" s="12" t="s">
        <v>189</v>
      </c>
      <c r="I68" s="14">
        <v>6</v>
      </c>
      <c r="J68" s="15">
        <v>101178</v>
      </c>
      <c r="K68" s="21">
        <v>41025</v>
      </c>
      <c r="L68" s="12">
        <v>14661</v>
      </c>
      <c r="M68" s="12">
        <v>4000</v>
      </c>
      <c r="N68" s="12"/>
      <c r="O68" s="12"/>
      <c r="P68" s="12">
        <v>2000</v>
      </c>
      <c r="Q68" s="12">
        <v>1000</v>
      </c>
      <c r="R68" s="12"/>
      <c r="S68" s="12">
        <v>800</v>
      </c>
      <c r="T68" s="12"/>
      <c r="U68" s="12">
        <v>2197</v>
      </c>
      <c r="V68" s="16">
        <f t="shared" ref="V68:V131" si="1">SUM(K68:U68)</f>
        <v>65683</v>
      </c>
      <c r="W68" s="12">
        <v>1446</v>
      </c>
      <c r="X68" s="12">
        <v>49</v>
      </c>
      <c r="Y68" s="16">
        <f>Table1[[#This Row],[LOAD K.M]]+Table1[[#This Row],[EMPTY K.M]]</f>
        <v>1495</v>
      </c>
      <c r="Z68" s="16">
        <f>Table1[[#This Row],[INVOICE AMOUNT2]]-Table1[[#This Row],[Total Exp.]]</f>
        <v>35495</v>
      </c>
      <c r="AA68" s="12">
        <f>Table1[[#This Row],[Total Exp.]]/Table1[[#This Row],[Total k.m]]</f>
        <v>43.935117056856186</v>
      </c>
      <c r="AB68" s="17">
        <f>Table1[[#This Row],[Profit/loss]]/Table1[[#This Row],[Total k.m]]</f>
        <v>23.742474916387959</v>
      </c>
      <c r="AC68" s="12">
        <f>Table1[[#This Row],[INVOICE AMOUNT2]]/Table1[[#This Row],[Total k.m]]</f>
        <v>67.677591973244148</v>
      </c>
    </row>
    <row r="69" spans="1:29" x14ac:dyDescent="0.3">
      <c r="A69" s="7">
        <v>67</v>
      </c>
      <c r="B69" s="25" t="s">
        <v>190</v>
      </c>
      <c r="C69" s="13" t="s">
        <v>63</v>
      </c>
      <c r="D69" s="10">
        <v>45925</v>
      </c>
      <c r="E69" s="11" t="s">
        <v>191</v>
      </c>
      <c r="F69" s="13" t="s">
        <v>113</v>
      </c>
      <c r="G69" s="13" t="s">
        <v>114</v>
      </c>
      <c r="H69" s="13" t="s">
        <v>36</v>
      </c>
      <c r="I69" s="14">
        <v>6</v>
      </c>
      <c r="J69" s="14">
        <v>60361</v>
      </c>
      <c r="K69" s="29">
        <v>23934</v>
      </c>
      <c r="L69" s="35">
        <v>6153.3</v>
      </c>
      <c r="M69" s="30">
        <v>4000</v>
      </c>
      <c r="N69" s="30"/>
      <c r="O69" s="30"/>
      <c r="P69" s="30">
        <v>2000</v>
      </c>
      <c r="Q69" s="30">
        <v>1000</v>
      </c>
      <c r="R69" s="30"/>
      <c r="S69" s="30">
        <v>100</v>
      </c>
      <c r="T69" s="30"/>
      <c r="U69" s="30">
        <v>1320</v>
      </c>
      <c r="V69" s="16">
        <f t="shared" si="1"/>
        <v>38507.300000000003</v>
      </c>
      <c r="W69" s="30">
        <v>841</v>
      </c>
      <c r="X69" s="30">
        <v>12</v>
      </c>
      <c r="Y69" s="16">
        <f>Table1[[#This Row],[LOAD K.M]]+Table1[[#This Row],[EMPTY K.M]]</f>
        <v>853</v>
      </c>
      <c r="Z69" s="16">
        <f>Table1[[#This Row],[INVOICE AMOUNT2]]-Table1[[#This Row],[Total Exp.]]</f>
        <v>21853.699999999997</v>
      </c>
      <c r="AA69" s="13">
        <f>Table1[[#This Row],[Total Exp.]]/Table1[[#This Row],[Total k.m]]</f>
        <v>45.143376318874566</v>
      </c>
      <c r="AB69" s="26">
        <f>Table1[[#This Row],[Profit/loss]]/Table1[[#This Row],[Total k.m]]</f>
        <v>25.619812426729187</v>
      </c>
      <c r="AC69" s="12">
        <f>Table1[[#This Row],[INVOICE AMOUNT2]]/Table1[[#This Row],[Total k.m]]</f>
        <v>70.763188745603756</v>
      </c>
    </row>
    <row r="70" spans="1:29" x14ac:dyDescent="0.3">
      <c r="A70" s="18">
        <v>68</v>
      </c>
      <c r="B70" s="25" t="s">
        <v>192</v>
      </c>
      <c r="C70" s="12" t="s">
        <v>87</v>
      </c>
      <c r="D70" s="10">
        <v>45925</v>
      </c>
      <c r="E70" s="24" t="s">
        <v>193</v>
      </c>
      <c r="F70" s="12" t="s">
        <v>42</v>
      </c>
      <c r="G70" s="12" t="s">
        <v>43</v>
      </c>
      <c r="H70" s="12" t="s">
        <v>194</v>
      </c>
      <c r="I70" s="14">
        <v>6</v>
      </c>
      <c r="J70" s="15">
        <v>83784</v>
      </c>
      <c r="K70" s="27">
        <v>41764</v>
      </c>
      <c r="L70" s="12">
        <v>14525</v>
      </c>
      <c r="M70" s="12">
        <v>1500</v>
      </c>
      <c r="N70" s="12"/>
      <c r="O70" s="12"/>
      <c r="P70" s="12">
        <v>2000</v>
      </c>
      <c r="Q70" s="12">
        <v>1000</v>
      </c>
      <c r="R70" s="12"/>
      <c r="S70" s="12">
        <v>600</v>
      </c>
      <c r="T70" s="12"/>
      <c r="U70" s="12"/>
      <c r="V70" s="16">
        <f t="shared" si="1"/>
        <v>61389</v>
      </c>
      <c r="W70" s="12">
        <v>932</v>
      </c>
      <c r="X70" s="12">
        <v>650</v>
      </c>
      <c r="Y70" s="16">
        <f>Table1[[#This Row],[LOAD K.M]]+Table1[[#This Row],[EMPTY K.M]]</f>
        <v>1582</v>
      </c>
      <c r="Z70" s="16">
        <f>Table1[[#This Row],[INVOICE AMOUNT2]]-Table1[[#This Row],[Total Exp.]]</f>
        <v>22395</v>
      </c>
      <c r="AA70" s="12">
        <f>Table1[[#This Row],[Total Exp.]]/Table1[[#This Row],[Total k.m]]</f>
        <v>38.804677623261696</v>
      </c>
      <c r="AB70" s="17">
        <f>Table1[[#This Row],[Profit/loss]]/Table1[[#This Row],[Total k.m]]</f>
        <v>14.156131479140329</v>
      </c>
      <c r="AC70" s="12">
        <f>Table1[[#This Row],[INVOICE AMOUNT2]]/Table1[[#This Row],[Total k.m]]</f>
        <v>52.960809102402024</v>
      </c>
    </row>
    <row r="71" spans="1:29" x14ac:dyDescent="0.3">
      <c r="A71" s="7">
        <v>69</v>
      </c>
      <c r="B71" s="36" t="s">
        <v>195</v>
      </c>
      <c r="C71" s="12" t="s">
        <v>72</v>
      </c>
      <c r="D71" s="10">
        <v>45925</v>
      </c>
      <c r="E71" s="24" t="s">
        <v>193</v>
      </c>
      <c r="F71" s="12" t="s">
        <v>178</v>
      </c>
      <c r="G71" s="12" t="s">
        <v>196</v>
      </c>
      <c r="H71" s="12" t="s">
        <v>197</v>
      </c>
      <c r="I71" s="14">
        <v>6</v>
      </c>
      <c r="J71" s="15">
        <v>73740</v>
      </c>
      <c r="K71" s="21">
        <v>40730</v>
      </c>
      <c r="L71" s="23">
        <v>13343</v>
      </c>
      <c r="M71" s="23">
        <v>5000</v>
      </c>
      <c r="N71" s="23"/>
      <c r="O71" s="23"/>
      <c r="P71" s="23">
        <v>2000</v>
      </c>
      <c r="Q71" s="23">
        <v>1000</v>
      </c>
      <c r="R71" s="23"/>
      <c r="S71" s="23"/>
      <c r="T71" s="23"/>
      <c r="U71" s="23">
        <v>1320</v>
      </c>
      <c r="V71" s="16">
        <f t="shared" si="1"/>
        <v>63393</v>
      </c>
      <c r="W71" s="23">
        <v>1192</v>
      </c>
      <c r="X71" s="23">
        <v>299</v>
      </c>
      <c r="Y71" s="16">
        <f>Table1[[#This Row],[LOAD K.M]]+Table1[[#This Row],[EMPTY K.M]]</f>
        <v>1491</v>
      </c>
      <c r="Z71" s="16">
        <f>Table1[[#This Row],[INVOICE AMOUNT2]]-Table1[[#This Row],[Total Exp.]]</f>
        <v>10347</v>
      </c>
      <c r="AA71" s="12">
        <f>Table1[[#This Row],[Total Exp.]]/Table1[[#This Row],[Total k.m]]</f>
        <v>42.517102615694164</v>
      </c>
      <c r="AB71" s="17">
        <f>Table1[[#This Row],[Profit/loss]]/Table1[[#This Row],[Total k.m]]</f>
        <v>6.9396378269617705</v>
      </c>
      <c r="AC71" s="12">
        <f>Table1[[#This Row],[INVOICE AMOUNT2]]/Table1[[#This Row],[Total k.m]]</f>
        <v>49.456740442655935</v>
      </c>
    </row>
    <row r="72" spans="1:29" x14ac:dyDescent="0.3">
      <c r="A72" s="18">
        <v>70</v>
      </c>
      <c r="B72" s="8" t="s">
        <v>198</v>
      </c>
      <c r="C72" s="37" t="s">
        <v>84</v>
      </c>
      <c r="D72" s="10">
        <v>45925</v>
      </c>
      <c r="E72" s="24" t="s">
        <v>199</v>
      </c>
      <c r="F72" s="12" t="s">
        <v>65</v>
      </c>
      <c r="G72" s="12" t="s">
        <v>66</v>
      </c>
      <c r="H72" s="12" t="s">
        <v>200</v>
      </c>
      <c r="I72" s="14">
        <v>8</v>
      </c>
      <c r="J72" s="15">
        <v>139689</v>
      </c>
      <c r="K72" s="21">
        <v>56162</v>
      </c>
      <c r="L72" s="12">
        <f>19594+800</f>
        <v>20394</v>
      </c>
      <c r="M72" s="12">
        <v>6000</v>
      </c>
      <c r="N72" s="12"/>
      <c r="O72" s="12"/>
      <c r="P72" s="12">
        <v>2000</v>
      </c>
      <c r="Q72" s="12">
        <v>1000</v>
      </c>
      <c r="R72" s="12"/>
      <c r="S72" s="12">
        <v>2700</v>
      </c>
      <c r="T72" s="12"/>
      <c r="U72" s="12">
        <v>2640</v>
      </c>
      <c r="V72" s="16">
        <f t="shared" si="1"/>
        <v>90896</v>
      </c>
      <c r="W72" s="12">
        <v>1801</v>
      </c>
      <c r="X72" s="12">
        <v>224</v>
      </c>
      <c r="Y72" s="16">
        <f>Table1[[#This Row],[LOAD K.M]]+Table1[[#This Row],[EMPTY K.M]]</f>
        <v>2025</v>
      </c>
      <c r="Z72" s="16">
        <f>Table1[[#This Row],[INVOICE AMOUNT2]]-Table1[[#This Row],[Total Exp.]]</f>
        <v>48793</v>
      </c>
      <c r="AA72" s="12">
        <f>Table1[[#This Row],[Total Exp.]]/Table1[[#This Row],[Total k.m]]</f>
        <v>44.886913580246912</v>
      </c>
      <c r="AB72" s="17">
        <f>Table1[[#This Row],[Profit/loss]]/Table1[[#This Row],[Total k.m]]</f>
        <v>24.095308641975308</v>
      </c>
      <c r="AC72" s="12">
        <f>Table1[[#This Row],[INVOICE AMOUNT2]]/Table1[[#This Row],[Total k.m]]</f>
        <v>68.982222222222219</v>
      </c>
    </row>
    <row r="73" spans="1:29" x14ac:dyDescent="0.3">
      <c r="A73" s="7">
        <v>71</v>
      </c>
      <c r="B73" s="36" t="s">
        <v>201</v>
      </c>
      <c r="C73" s="37" t="s">
        <v>93</v>
      </c>
      <c r="D73" s="10">
        <v>45925</v>
      </c>
      <c r="E73" s="24" t="s">
        <v>199</v>
      </c>
      <c r="F73" s="12" t="s">
        <v>65</v>
      </c>
      <c r="G73" s="12" t="s">
        <v>100</v>
      </c>
      <c r="H73" s="12" t="s">
        <v>55</v>
      </c>
      <c r="I73" s="14">
        <v>8</v>
      </c>
      <c r="J73" s="31">
        <v>142518</v>
      </c>
      <c r="K73" s="21">
        <v>65187</v>
      </c>
      <c r="L73" s="23">
        <v>25045</v>
      </c>
      <c r="M73" s="23">
        <v>6500</v>
      </c>
      <c r="N73" s="23"/>
      <c r="O73" s="23"/>
      <c r="P73" s="23">
        <v>2000</v>
      </c>
      <c r="Q73" s="23">
        <v>1500</v>
      </c>
      <c r="R73" s="23"/>
      <c r="S73" s="23">
        <v>250</v>
      </c>
      <c r="T73" s="23"/>
      <c r="U73" s="23">
        <v>3794</v>
      </c>
      <c r="V73" s="16">
        <f t="shared" si="1"/>
        <v>104276</v>
      </c>
      <c r="W73" s="23">
        <v>1665</v>
      </c>
      <c r="X73" s="23">
        <v>840</v>
      </c>
      <c r="Y73" s="16">
        <f>Table1[[#This Row],[LOAD K.M]]+Table1[[#This Row],[EMPTY K.M]]</f>
        <v>2505</v>
      </c>
      <c r="Z73" s="16">
        <f>Table1[[#This Row],[INVOICE AMOUNT2]]-Table1[[#This Row],[Total Exp.]]</f>
        <v>38242</v>
      </c>
      <c r="AA73" s="12">
        <f>Table1[[#This Row],[Total Exp.]]/Table1[[#This Row],[Total k.m]]</f>
        <v>41.627145708582837</v>
      </c>
      <c r="AB73" s="17">
        <f>Table1[[#This Row],[Profit/loss]]/Table1[[#This Row],[Total k.m]]</f>
        <v>15.266267465069861</v>
      </c>
      <c r="AC73" s="12">
        <f>Table1[[#This Row],[INVOICE AMOUNT2]]/Table1[[#This Row],[Total k.m]]</f>
        <v>56.893413173652696</v>
      </c>
    </row>
    <row r="74" spans="1:29" x14ac:dyDescent="0.3">
      <c r="A74" s="18">
        <v>72</v>
      </c>
      <c r="B74" s="8" t="s">
        <v>202</v>
      </c>
      <c r="C74" s="37" t="s">
        <v>109</v>
      </c>
      <c r="D74" s="10">
        <v>45925</v>
      </c>
      <c r="E74" s="24" t="s">
        <v>199</v>
      </c>
      <c r="F74" s="12" t="s">
        <v>65</v>
      </c>
      <c r="G74" s="12" t="s">
        <v>100</v>
      </c>
      <c r="H74" s="12" t="s">
        <v>55</v>
      </c>
      <c r="I74" s="14">
        <v>8</v>
      </c>
      <c r="J74" s="31">
        <v>142518</v>
      </c>
      <c r="K74" s="21">
        <v>47965</v>
      </c>
      <c r="L74" s="12">
        <v>23633</v>
      </c>
      <c r="M74" s="12">
        <v>3500</v>
      </c>
      <c r="N74" s="12"/>
      <c r="O74" s="12">
        <v>660</v>
      </c>
      <c r="P74" s="12">
        <v>2000</v>
      </c>
      <c r="Q74" s="12">
        <v>1500</v>
      </c>
      <c r="R74" s="12"/>
      <c r="S74" s="12"/>
      <c r="T74" s="12"/>
      <c r="U74" s="12">
        <v>2640</v>
      </c>
      <c r="V74" s="16">
        <f t="shared" si="1"/>
        <v>81898</v>
      </c>
      <c r="W74" s="12">
        <v>1682</v>
      </c>
      <c r="X74" s="12">
        <v>114</v>
      </c>
      <c r="Y74" s="16">
        <f>Table1[[#This Row],[LOAD K.M]]+Table1[[#This Row],[EMPTY K.M]]</f>
        <v>1796</v>
      </c>
      <c r="Z74" s="16">
        <f>Table1[[#This Row],[INVOICE AMOUNT2]]-Table1[[#This Row],[Total Exp.]]</f>
        <v>60620</v>
      </c>
      <c r="AA74" s="12">
        <f>Table1[[#This Row],[Total Exp.]]/Table1[[#This Row],[Total k.m]]</f>
        <v>45.600222717149222</v>
      </c>
      <c r="AB74" s="17">
        <f>Table1[[#This Row],[Profit/loss]]/Table1[[#This Row],[Total k.m]]</f>
        <v>33.752783964365257</v>
      </c>
      <c r="AC74" s="12">
        <f>Table1[[#This Row],[INVOICE AMOUNT2]]/Table1[[#This Row],[Total k.m]]</f>
        <v>79.353006681514472</v>
      </c>
    </row>
    <row r="75" spans="1:29" x14ac:dyDescent="0.3">
      <c r="A75" s="7">
        <v>73</v>
      </c>
      <c r="B75" s="25" t="s">
        <v>203</v>
      </c>
      <c r="C75" s="12" t="s">
        <v>39</v>
      </c>
      <c r="D75" s="10">
        <v>45925</v>
      </c>
      <c r="E75" s="24" t="s">
        <v>204</v>
      </c>
      <c r="F75" s="12" t="s">
        <v>42</v>
      </c>
      <c r="G75" s="12" t="s">
        <v>43</v>
      </c>
      <c r="H75" s="12" t="s">
        <v>205</v>
      </c>
      <c r="I75" s="14">
        <v>6</v>
      </c>
      <c r="J75" s="15">
        <v>49513</v>
      </c>
      <c r="K75" s="21">
        <v>15429</v>
      </c>
      <c r="L75" s="23">
        <v>6408</v>
      </c>
      <c r="M75" s="23">
        <v>1500</v>
      </c>
      <c r="N75" s="23"/>
      <c r="O75" s="23"/>
      <c r="P75" s="23">
        <v>2000</v>
      </c>
      <c r="Q75" s="23">
        <v>1500</v>
      </c>
      <c r="R75" s="23"/>
      <c r="S75" s="23"/>
      <c r="T75" s="23"/>
      <c r="U75" s="23"/>
      <c r="V75" s="16">
        <f t="shared" si="1"/>
        <v>26837</v>
      </c>
      <c r="W75" s="23">
        <v>450</v>
      </c>
      <c r="X75" s="23">
        <v>125</v>
      </c>
      <c r="Y75" s="16">
        <f>Table1[[#This Row],[LOAD K.M]]+Table1[[#This Row],[EMPTY K.M]]</f>
        <v>575</v>
      </c>
      <c r="Z75" s="16">
        <f>Table1[[#This Row],[INVOICE AMOUNT2]]-Table1[[#This Row],[Total Exp.]]</f>
        <v>22676</v>
      </c>
      <c r="AA75" s="12">
        <f>Table1[[#This Row],[Total Exp.]]/Table1[[#This Row],[Total k.m]]</f>
        <v>46.673043478260873</v>
      </c>
      <c r="AB75" s="17">
        <f>Table1[[#This Row],[Profit/loss]]/Table1[[#This Row],[Total k.m]]</f>
        <v>39.436521739130434</v>
      </c>
      <c r="AC75" s="12">
        <f>Table1[[#This Row],[INVOICE AMOUNT2]]/Table1[[#This Row],[Total k.m]]</f>
        <v>86.109565217391307</v>
      </c>
    </row>
    <row r="76" spans="1:29" x14ac:dyDescent="0.3">
      <c r="A76" s="18">
        <v>74</v>
      </c>
      <c r="B76" s="25" t="s">
        <v>206</v>
      </c>
      <c r="C76" s="12" t="s">
        <v>82</v>
      </c>
      <c r="D76" s="10">
        <v>45925</v>
      </c>
      <c r="E76" s="24" t="s">
        <v>204</v>
      </c>
      <c r="F76" s="12" t="s">
        <v>42</v>
      </c>
      <c r="G76" s="12" t="s">
        <v>43</v>
      </c>
      <c r="H76" s="12" t="s">
        <v>207</v>
      </c>
      <c r="I76" s="14">
        <v>6</v>
      </c>
      <c r="J76" s="15">
        <v>49787</v>
      </c>
      <c r="K76" s="21">
        <v>23021</v>
      </c>
      <c r="L76" s="12">
        <v>7383</v>
      </c>
      <c r="M76" s="12">
        <v>1500</v>
      </c>
      <c r="N76" s="12"/>
      <c r="O76" s="12"/>
      <c r="P76" s="12">
        <v>2000</v>
      </c>
      <c r="Q76" s="12">
        <v>1000</v>
      </c>
      <c r="R76" s="12"/>
      <c r="S76" s="12">
        <v>300</v>
      </c>
      <c r="T76" s="12"/>
      <c r="U76" s="12"/>
      <c r="V76" s="16">
        <f t="shared" si="1"/>
        <v>35204</v>
      </c>
      <c r="W76" s="12">
        <v>624</v>
      </c>
      <c r="X76" s="12">
        <v>238</v>
      </c>
      <c r="Y76" s="16">
        <f>Table1[[#This Row],[LOAD K.M]]+Table1[[#This Row],[EMPTY K.M]]</f>
        <v>862</v>
      </c>
      <c r="Z76" s="16">
        <f>Table1[[#This Row],[INVOICE AMOUNT2]]-Table1[[#This Row],[Total Exp.]]</f>
        <v>14583</v>
      </c>
      <c r="AA76" s="12">
        <f>Table1[[#This Row],[Total Exp.]]/Table1[[#This Row],[Total k.m]]</f>
        <v>40.839907192575403</v>
      </c>
      <c r="AB76" s="17">
        <f>Table1[[#This Row],[Profit/loss]]/Table1[[#This Row],[Total k.m]]</f>
        <v>16.917633410672853</v>
      </c>
      <c r="AC76" s="12">
        <f>Table1[[#This Row],[INVOICE AMOUNT2]]/Table1[[#This Row],[Total k.m]]</f>
        <v>57.757540603248259</v>
      </c>
    </row>
    <row r="77" spans="1:29" x14ac:dyDescent="0.3">
      <c r="A77" s="7">
        <v>75</v>
      </c>
      <c r="B77" s="25" t="s">
        <v>208</v>
      </c>
      <c r="C77" s="12" t="s">
        <v>105</v>
      </c>
      <c r="D77" s="10">
        <v>45925</v>
      </c>
      <c r="E77" s="24" t="s">
        <v>204</v>
      </c>
      <c r="F77" s="12" t="s">
        <v>35</v>
      </c>
      <c r="G77" s="12" t="s">
        <v>36</v>
      </c>
      <c r="H77" s="12" t="s">
        <v>209</v>
      </c>
      <c r="I77" s="14">
        <v>8</v>
      </c>
      <c r="J77" s="15">
        <v>164560</v>
      </c>
      <c r="K77" s="21">
        <v>64289</v>
      </c>
      <c r="L77" s="21">
        <v>19313.3</v>
      </c>
      <c r="M77" s="23">
        <v>4000</v>
      </c>
      <c r="N77" s="23"/>
      <c r="O77" s="23"/>
      <c r="P77" s="23">
        <v>2000</v>
      </c>
      <c r="Q77" s="23">
        <v>1000</v>
      </c>
      <c r="R77" s="23"/>
      <c r="S77" s="23">
        <v>1400</v>
      </c>
      <c r="T77" s="23"/>
      <c r="U77" s="23">
        <v>2087</v>
      </c>
      <c r="V77" s="16">
        <f t="shared" si="1"/>
        <v>94089.3</v>
      </c>
      <c r="W77" s="23">
        <v>1690</v>
      </c>
      <c r="X77" s="23">
        <v>702</v>
      </c>
      <c r="Y77" s="16">
        <f>Table1[[#This Row],[LOAD K.M]]+Table1[[#This Row],[EMPTY K.M]]</f>
        <v>2392</v>
      </c>
      <c r="Z77" s="16">
        <f>Table1[[#This Row],[INVOICE AMOUNT2]]-Table1[[#This Row],[Total Exp.]]</f>
        <v>70470.7</v>
      </c>
      <c r="AA77" s="12">
        <f>Table1[[#This Row],[Total Exp.]]/Table1[[#This Row],[Total k.m]]</f>
        <v>39.334991638795991</v>
      </c>
      <c r="AB77" s="17">
        <f>Table1[[#This Row],[Profit/loss]]/Table1[[#This Row],[Total k.m]]</f>
        <v>29.46099498327759</v>
      </c>
      <c r="AC77" s="12">
        <f>Table1[[#This Row],[INVOICE AMOUNT2]]/Table1[[#This Row],[Total k.m]]</f>
        <v>68.795986622073585</v>
      </c>
    </row>
    <row r="78" spans="1:29" x14ac:dyDescent="0.3">
      <c r="A78" s="18">
        <v>76</v>
      </c>
      <c r="B78" s="25" t="s">
        <v>210</v>
      </c>
      <c r="C78" s="13" t="s">
        <v>69</v>
      </c>
      <c r="D78" s="10">
        <v>45925</v>
      </c>
      <c r="E78" s="11" t="s">
        <v>204</v>
      </c>
      <c r="F78" s="13" t="s">
        <v>35</v>
      </c>
      <c r="G78" s="13" t="s">
        <v>36</v>
      </c>
      <c r="H78" s="13" t="s">
        <v>85</v>
      </c>
      <c r="I78" s="14">
        <v>8</v>
      </c>
      <c r="J78" s="15">
        <v>78424</v>
      </c>
      <c r="K78" s="27">
        <v>34642</v>
      </c>
      <c r="L78" s="12">
        <v>9497</v>
      </c>
      <c r="M78" s="12">
        <v>3000</v>
      </c>
      <c r="N78" s="12"/>
      <c r="O78" s="12"/>
      <c r="P78" s="12">
        <v>2000</v>
      </c>
      <c r="Q78" s="12">
        <v>1500</v>
      </c>
      <c r="R78" s="12"/>
      <c r="S78" s="12">
        <v>2600</v>
      </c>
      <c r="T78" s="12"/>
      <c r="U78" s="12">
        <v>1320</v>
      </c>
      <c r="V78" s="16">
        <f t="shared" si="1"/>
        <v>54559</v>
      </c>
      <c r="W78" s="12">
        <v>670</v>
      </c>
      <c r="X78" s="12">
        <v>640</v>
      </c>
      <c r="Y78" s="16">
        <f>Table1[[#This Row],[LOAD K.M]]+Table1[[#This Row],[EMPTY K.M]]</f>
        <v>1310</v>
      </c>
      <c r="Z78" s="16">
        <f>Table1[[#This Row],[INVOICE AMOUNT2]]-Table1[[#This Row],[Total Exp.]]</f>
        <v>23865</v>
      </c>
      <c r="AA78" s="12">
        <f>Table1[[#This Row],[Total Exp.]]/Table1[[#This Row],[Total k.m]]</f>
        <v>41.648091603053437</v>
      </c>
      <c r="AB78" s="17">
        <f>Table1[[#This Row],[Profit/loss]]/Table1[[#This Row],[Total k.m]]</f>
        <v>18.217557251908396</v>
      </c>
      <c r="AC78" s="12">
        <f>Table1[[#This Row],[INVOICE AMOUNT2]]/Table1[[#This Row],[Total k.m]]</f>
        <v>59.865648854961833</v>
      </c>
    </row>
    <row r="79" spans="1:29" x14ac:dyDescent="0.3">
      <c r="A79" s="7">
        <v>77</v>
      </c>
      <c r="B79" s="25" t="s">
        <v>211</v>
      </c>
      <c r="C79" s="12" t="s">
        <v>59</v>
      </c>
      <c r="D79" s="10">
        <v>45925</v>
      </c>
      <c r="E79" s="24" t="s">
        <v>204</v>
      </c>
      <c r="F79" s="12" t="s">
        <v>35</v>
      </c>
      <c r="G79" s="12" t="s">
        <v>36</v>
      </c>
      <c r="H79" s="12" t="s">
        <v>212</v>
      </c>
      <c r="I79" s="14">
        <v>8</v>
      </c>
      <c r="J79" s="15">
        <v>104314</v>
      </c>
      <c r="K79" s="21">
        <v>39420</v>
      </c>
      <c r="L79" s="23">
        <v>10691</v>
      </c>
      <c r="M79" s="23">
        <v>4500</v>
      </c>
      <c r="N79" s="23"/>
      <c r="O79" s="23"/>
      <c r="P79" s="23">
        <v>2000</v>
      </c>
      <c r="Q79" s="23">
        <v>1000</v>
      </c>
      <c r="R79" s="23"/>
      <c r="S79" s="23">
        <v>3700</v>
      </c>
      <c r="T79" s="23"/>
      <c r="U79" s="23">
        <v>1320</v>
      </c>
      <c r="V79" s="16">
        <f t="shared" si="1"/>
        <v>62631</v>
      </c>
      <c r="W79" s="23">
        <v>1241</v>
      </c>
      <c r="X79" s="23">
        <v>197</v>
      </c>
      <c r="Y79" s="16">
        <f>Table1[[#This Row],[LOAD K.M]]+Table1[[#This Row],[EMPTY K.M]]</f>
        <v>1438</v>
      </c>
      <c r="Z79" s="16">
        <f>Table1[[#This Row],[INVOICE AMOUNT2]]-Table1[[#This Row],[Total Exp.]]</f>
        <v>41683</v>
      </c>
      <c r="AA79" s="12">
        <f>Table1[[#This Row],[Total Exp.]]/Table1[[#This Row],[Total k.m]]</f>
        <v>43.554242002781642</v>
      </c>
      <c r="AB79" s="17">
        <f>Table1[[#This Row],[Profit/loss]]/Table1[[#This Row],[Total k.m]]</f>
        <v>28.986787204450625</v>
      </c>
      <c r="AC79" s="12">
        <f>Table1[[#This Row],[INVOICE AMOUNT2]]/Table1[[#This Row],[Total k.m]]</f>
        <v>72.54102920723227</v>
      </c>
    </row>
    <row r="80" spans="1:29" x14ac:dyDescent="0.3">
      <c r="A80" s="18">
        <v>78</v>
      </c>
      <c r="B80" s="25" t="s">
        <v>213</v>
      </c>
      <c r="C80" s="12" t="s">
        <v>46</v>
      </c>
      <c r="D80" s="10">
        <v>45925</v>
      </c>
      <c r="E80" s="24" t="s">
        <v>214</v>
      </c>
      <c r="F80" s="12" t="s">
        <v>65</v>
      </c>
      <c r="G80" s="12" t="s">
        <v>215</v>
      </c>
      <c r="H80" s="12" t="s">
        <v>216</v>
      </c>
      <c r="I80" s="14">
        <v>8</v>
      </c>
      <c r="J80" s="15">
        <v>48680</v>
      </c>
      <c r="K80" s="21">
        <v>19194</v>
      </c>
      <c r="L80" s="12">
        <v>10970</v>
      </c>
      <c r="M80" s="12"/>
      <c r="N80" s="12"/>
      <c r="O80" s="12"/>
      <c r="P80" s="12">
        <v>2000</v>
      </c>
      <c r="Q80" s="12">
        <v>1000</v>
      </c>
      <c r="R80" s="12"/>
      <c r="S80" s="12"/>
      <c r="T80" s="12"/>
      <c r="U80" s="12"/>
      <c r="V80" s="16">
        <f t="shared" si="1"/>
        <v>33164</v>
      </c>
      <c r="W80" s="12">
        <v>498</v>
      </c>
      <c r="X80" s="12">
        <v>244</v>
      </c>
      <c r="Y80" s="16">
        <f>Table1[[#This Row],[LOAD K.M]]+Table1[[#This Row],[EMPTY K.M]]</f>
        <v>742</v>
      </c>
      <c r="Z80" s="16">
        <f>Table1[[#This Row],[INVOICE AMOUNT2]]-Table1[[#This Row],[Total Exp.]]</f>
        <v>15516</v>
      </c>
      <c r="AA80" s="12">
        <f>Table1[[#This Row],[Total Exp.]]/Table1[[#This Row],[Total k.m]]</f>
        <v>44.695417789757414</v>
      </c>
      <c r="AB80" s="17">
        <f>Table1[[#This Row],[Profit/loss]]/Table1[[#This Row],[Total k.m]]</f>
        <v>20.911051212938006</v>
      </c>
      <c r="AC80" s="12">
        <f>Table1[[#This Row],[INVOICE AMOUNT2]]/Table1[[#This Row],[Total k.m]]</f>
        <v>65.60646900269542</v>
      </c>
    </row>
    <row r="81" spans="1:29" x14ac:dyDescent="0.3">
      <c r="A81" s="7">
        <v>79</v>
      </c>
      <c r="B81" s="25" t="s">
        <v>217</v>
      </c>
      <c r="C81" s="12" t="s">
        <v>98</v>
      </c>
      <c r="D81" s="10">
        <v>45925</v>
      </c>
      <c r="E81" s="24" t="s">
        <v>214</v>
      </c>
      <c r="F81" s="12" t="s">
        <v>65</v>
      </c>
      <c r="G81" s="12" t="s">
        <v>66</v>
      </c>
      <c r="H81" s="12" t="s">
        <v>154</v>
      </c>
      <c r="I81" s="14">
        <v>7</v>
      </c>
      <c r="J81" s="15">
        <v>171567</v>
      </c>
      <c r="K81" s="21">
        <v>60200</v>
      </c>
      <c r="L81" s="38">
        <v>21114.6</v>
      </c>
      <c r="M81" s="23">
        <v>10500</v>
      </c>
      <c r="N81" s="23"/>
      <c r="O81" s="23"/>
      <c r="P81" s="23">
        <v>2000</v>
      </c>
      <c r="Q81" s="23">
        <v>1000</v>
      </c>
      <c r="R81" s="23"/>
      <c r="S81" s="23">
        <v>3000</v>
      </c>
      <c r="T81" s="23"/>
      <c r="U81" s="23">
        <v>1320</v>
      </c>
      <c r="V81" s="16">
        <f t="shared" si="1"/>
        <v>99134.6</v>
      </c>
      <c r="W81" s="23">
        <v>2129</v>
      </c>
      <c r="X81" s="23">
        <v>73</v>
      </c>
      <c r="Y81" s="16">
        <f>Table1[[#This Row],[LOAD K.M]]+Table1[[#This Row],[EMPTY K.M]]</f>
        <v>2202</v>
      </c>
      <c r="Z81" s="16">
        <f>Table1[[#This Row],[INVOICE AMOUNT2]]-Table1[[#This Row],[Total Exp.]]</f>
        <v>72432.399999999994</v>
      </c>
      <c r="AA81" s="12">
        <f>Table1[[#This Row],[Total Exp.]]/Table1[[#This Row],[Total k.m]]</f>
        <v>45.020254314259766</v>
      </c>
      <c r="AB81" s="17">
        <f>Table1[[#This Row],[Profit/loss]]/Table1[[#This Row],[Total k.m]]</f>
        <v>32.893914623069932</v>
      </c>
      <c r="AC81" s="12">
        <f>Table1[[#This Row],[INVOICE AMOUNT2]]/Table1[[#This Row],[Total k.m]]</f>
        <v>77.914168937329705</v>
      </c>
    </row>
    <row r="82" spans="1:29" x14ac:dyDescent="0.3">
      <c r="A82" s="7">
        <v>80</v>
      </c>
      <c r="B82" s="25" t="s">
        <v>218</v>
      </c>
      <c r="C82" s="13" t="s">
        <v>63</v>
      </c>
      <c r="D82" s="10">
        <v>45925</v>
      </c>
      <c r="E82" s="11" t="s">
        <v>214</v>
      </c>
      <c r="F82" s="13" t="s">
        <v>178</v>
      </c>
      <c r="G82" s="13" t="s">
        <v>36</v>
      </c>
      <c r="H82" s="13" t="s">
        <v>219</v>
      </c>
      <c r="I82" s="14">
        <v>6</v>
      </c>
      <c r="J82" s="14">
        <v>116094</v>
      </c>
      <c r="K82" s="29">
        <v>54935</v>
      </c>
      <c r="L82" s="13">
        <v>19171</v>
      </c>
      <c r="M82" s="13">
        <v>4000</v>
      </c>
      <c r="N82" s="13"/>
      <c r="O82" s="13"/>
      <c r="P82" s="13">
        <v>2000</v>
      </c>
      <c r="Q82" s="13">
        <v>1000</v>
      </c>
      <c r="R82" s="13"/>
      <c r="S82" s="13">
        <v>400</v>
      </c>
      <c r="T82" s="13"/>
      <c r="U82" s="13"/>
      <c r="V82" s="16">
        <f t="shared" si="1"/>
        <v>81506</v>
      </c>
      <c r="W82" s="13">
        <v>1625</v>
      </c>
      <c r="X82" s="13">
        <v>435</v>
      </c>
      <c r="Y82" s="16">
        <f>Table1[[#This Row],[LOAD K.M]]+Table1[[#This Row],[EMPTY K.M]]</f>
        <v>2060</v>
      </c>
      <c r="Z82" s="16">
        <f>Table1[[#This Row],[INVOICE AMOUNT2]]-Table1[[#This Row],[Total Exp.]]</f>
        <v>34588</v>
      </c>
      <c r="AA82" s="13">
        <f>Table1[[#This Row],[Total Exp.]]/Table1[[#This Row],[Total k.m]]</f>
        <v>39.566019417475729</v>
      </c>
      <c r="AB82" s="26">
        <f>Table1[[#This Row],[Profit/loss]]/Table1[[#This Row],[Total k.m]]</f>
        <v>16.790291262135923</v>
      </c>
      <c r="AC82" s="12">
        <f>Table1[[#This Row],[INVOICE AMOUNT2]]/Table1[[#This Row],[Total k.m]]</f>
        <v>56.356310679611653</v>
      </c>
    </row>
    <row r="83" spans="1:29" x14ac:dyDescent="0.3">
      <c r="A83" s="7">
        <v>81</v>
      </c>
      <c r="B83" s="25" t="s">
        <v>220</v>
      </c>
      <c r="C83" s="12" t="s">
        <v>39</v>
      </c>
      <c r="D83" s="10">
        <v>45925</v>
      </c>
      <c r="E83" s="24" t="s">
        <v>221</v>
      </c>
      <c r="F83" s="12" t="s">
        <v>178</v>
      </c>
      <c r="G83" s="12" t="s">
        <v>36</v>
      </c>
      <c r="H83" s="12" t="s">
        <v>222</v>
      </c>
      <c r="I83" s="14">
        <v>6</v>
      </c>
      <c r="J83" s="15">
        <v>152112</v>
      </c>
      <c r="K83" s="21">
        <v>66842</v>
      </c>
      <c r="L83" s="23">
        <v>21900</v>
      </c>
      <c r="M83" s="23">
        <v>6100</v>
      </c>
      <c r="N83" s="23"/>
      <c r="O83" s="23"/>
      <c r="P83" s="23">
        <v>2000</v>
      </c>
      <c r="Q83" s="23">
        <v>1000</v>
      </c>
      <c r="R83" s="23"/>
      <c r="S83" s="23"/>
      <c r="T83" s="23">
        <v>5000</v>
      </c>
      <c r="U83" s="23">
        <v>2550</v>
      </c>
      <c r="V83" s="16">
        <f t="shared" si="1"/>
        <v>105392</v>
      </c>
      <c r="W83" s="23">
        <v>1692</v>
      </c>
      <c r="X83" s="23">
        <v>768</v>
      </c>
      <c r="Y83" s="16">
        <f>Table1[[#This Row],[LOAD K.M]]+Table1[[#This Row],[EMPTY K.M]]</f>
        <v>2460</v>
      </c>
      <c r="Z83" s="16">
        <f>Table1[[#This Row],[INVOICE AMOUNT2]]-Table1[[#This Row],[Total Exp.]]</f>
        <v>46720</v>
      </c>
      <c r="AA83" s="12">
        <f>Table1[[#This Row],[Total Exp.]]/Table1[[#This Row],[Total k.m]]</f>
        <v>42.842276422764229</v>
      </c>
      <c r="AB83" s="17">
        <f>Table1[[#This Row],[Profit/loss]]/Table1[[#This Row],[Total k.m]]</f>
        <v>18.991869918699187</v>
      </c>
      <c r="AC83" s="12">
        <f>Table1[[#This Row],[INVOICE AMOUNT2]]/Table1[[#This Row],[Total k.m]]</f>
        <v>61.834146341463416</v>
      </c>
    </row>
    <row r="84" spans="1:29" x14ac:dyDescent="0.3">
      <c r="A84" s="18">
        <v>82</v>
      </c>
      <c r="B84" s="25" t="s">
        <v>223</v>
      </c>
      <c r="C84" s="12" t="s">
        <v>87</v>
      </c>
      <c r="D84" s="10">
        <v>45925</v>
      </c>
      <c r="E84" s="24" t="s">
        <v>221</v>
      </c>
      <c r="F84" s="12" t="s">
        <v>178</v>
      </c>
      <c r="G84" s="12" t="s">
        <v>196</v>
      </c>
      <c r="H84" s="12" t="s">
        <v>154</v>
      </c>
      <c r="I84" s="14">
        <v>6</v>
      </c>
      <c r="J84" s="15">
        <v>127428</v>
      </c>
      <c r="K84" s="27">
        <v>43470</v>
      </c>
      <c r="L84" s="12">
        <v>16918</v>
      </c>
      <c r="M84" s="12">
        <v>4000</v>
      </c>
      <c r="N84" s="12"/>
      <c r="O84" s="12"/>
      <c r="P84" s="12">
        <v>2000</v>
      </c>
      <c r="Q84" s="12">
        <v>1000</v>
      </c>
      <c r="R84" s="12"/>
      <c r="S84" s="12">
        <v>300</v>
      </c>
      <c r="T84" s="12">
        <v>250</v>
      </c>
      <c r="U84" s="12"/>
      <c r="V84" s="16">
        <f t="shared" si="1"/>
        <v>67938</v>
      </c>
      <c r="W84" s="12">
        <v>1253</v>
      </c>
      <c r="X84" s="12">
        <v>357</v>
      </c>
      <c r="Y84" s="16">
        <f>Table1[[#This Row],[LOAD K.M]]+Table1[[#This Row],[EMPTY K.M]]</f>
        <v>1610</v>
      </c>
      <c r="Z84" s="16">
        <f>Table1[[#This Row],[INVOICE AMOUNT2]]-Table1[[#This Row],[Total Exp.]]</f>
        <v>59490</v>
      </c>
      <c r="AA84" s="12">
        <f>Table1[[#This Row],[Total Exp.]]/Table1[[#This Row],[Total k.m]]</f>
        <v>42.197515527950308</v>
      </c>
      <c r="AB84" s="17">
        <f>Table1[[#This Row],[Profit/loss]]/Table1[[#This Row],[Total k.m]]</f>
        <v>36.950310559006212</v>
      </c>
      <c r="AC84" s="12">
        <f>Table1[[#This Row],[INVOICE AMOUNT2]]/Table1[[#This Row],[Total k.m]]</f>
        <v>79.147826086956528</v>
      </c>
    </row>
    <row r="85" spans="1:29" x14ac:dyDescent="0.3">
      <c r="A85" s="7">
        <v>83</v>
      </c>
      <c r="B85" s="25" t="s">
        <v>224</v>
      </c>
      <c r="C85" s="12" t="s">
        <v>95</v>
      </c>
      <c r="D85" s="10">
        <v>45925</v>
      </c>
      <c r="E85" s="24" t="s">
        <v>225</v>
      </c>
      <c r="F85" s="12" t="s">
        <v>65</v>
      </c>
      <c r="G85" s="12" t="s">
        <v>66</v>
      </c>
      <c r="H85" s="12" t="s">
        <v>226</v>
      </c>
      <c r="I85" s="14">
        <v>8</v>
      </c>
      <c r="J85" s="15">
        <v>158172</v>
      </c>
      <c r="K85" s="21">
        <v>60128</v>
      </c>
      <c r="L85" s="23">
        <v>20754</v>
      </c>
      <c r="M85" s="23">
        <v>9500</v>
      </c>
      <c r="N85" s="23"/>
      <c r="O85" s="23"/>
      <c r="P85" s="23">
        <v>2000</v>
      </c>
      <c r="Q85" s="23">
        <v>1000</v>
      </c>
      <c r="R85" s="23"/>
      <c r="S85" s="23"/>
      <c r="T85" s="23"/>
      <c r="U85" s="23"/>
      <c r="V85" s="16">
        <f t="shared" si="1"/>
        <v>93382</v>
      </c>
      <c r="W85" s="23">
        <v>1765</v>
      </c>
      <c r="X85" s="23">
        <v>431</v>
      </c>
      <c r="Y85" s="16">
        <f>Table1[[#This Row],[LOAD K.M]]+Table1[[#This Row],[EMPTY K.M]]</f>
        <v>2196</v>
      </c>
      <c r="Z85" s="16">
        <f>Table1[[#This Row],[INVOICE AMOUNT2]]-Table1[[#This Row],[Total Exp.]]</f>
        <v>64790</v>
      </c>
      <c r="AA85" s="12">
        <f>Table1[[#This Row],[Total Exp.]]/Table1[[#This Row],[Total k.m]]</f>
        <v>42.52367941712204</v>
      </c>
      <c r="AB85" s="17">
        <f>Table1[[#This Row],[Profit/loss]]/Table1[[#This Row],[Total k.m]]</f>
        <v>29.503642987249545</v>
      </c>
      <c r="AC85" s="12">
        <f>Table1[[#This Row],[INVOICE AMOUNT2]]/Table1[[#This Row],[Total k.m]]</f>
        <v>72.027322404371589</v>
      </c>
    </row>
    <row r="86" spans="1:29" x14ac:dyDescent="0.3">
      <c r="A86" s="18">
        <v>84</v>
      </c>
      <c r="B86" s="39" t="s">
        <v>227</v>
      </c>
      <c r="C86" s="40" t="s">
        <v>39</v>
      </c>
      <c r="D86" s="10">
        <v>45925</v>
      </c>
      <c r="E86" s="41" t="s">
        <v>225</v>
      </c>
      <c r="F86" s="40" t="s">
        <v>178</v>
      </c>
      <c r="G86" s="40" t="s">
        <v>228</v>
      </c>
      <c r="H86" s="40" t="s">
        <v>229</v>
      </c>
      <c r="I86" s="14" t="s">
        <v>230</v>
      </c>
      <c r="J86" s="15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6">
        <f t="shared" si="1"/>
        <v>0</v>
      </c>
      <c r="W86" s="12"/>
      <c r="X86" s="12"/>
      <c r="Y86" s="16">
        <f>Table1[[#This Row],[LOAD K.M]]+Table1[[#This Row],[EMPTY K.M]]</f>
        <v>0</v>
      </c>
      <c r="Z86" s="16">
        <f>Table1[[#This Row],[INVOICE AMOUNT2]]-Table1[[#This Row],[Total Exp.]]</f>
        <v>0</v>
      </c>
      <c r="AA86" s="12" t="e">
        <f>Table1[[#This Row],[Total Exp.]]/Table1[[#This Row],[Total k.m]]</f>
        <v>#DIV/0!</v>
      </c>
      <c r="AB86" s="17" t="e">
        <f>Table1[[#This Row],[Profit/loss]]/Table1[[#This Row],[Total k.m]]</f>
        <v>#DIV/0!</v>
      </c>
      <c r="AC86" s="12" t="e">
        <f>Table1[[#This Row],[INVOICE AMOUNT2]]/Table1[[#This Row],[Total k.m]]</f>
        <v>#DIV/0!</v>
      </c>
    </row>
    <row r="87" spans="1:29" x14ac:dyDescent="0.3">
      <c r="A87" s="7">
        <v>85</v>
      </c>
      <c r="B87" s="25" t="s">
        <v>231</v>
      </c>
      <c r="C87" s="12" t="s">
        <v>75</v>
      </c>
      <c r="D87" s="10">
        <v>45925</v>
      </c>
      <c r="E87" s="24" t="s">
        <v>232</v>
      </c>
      <c r="F87" s="12" t="s">
        <v>65</v>
      </c>
      <c r="G87" s="12" t="s">
        <v>66</v>
      </c>
      <c r="H87" s="12" t="s">
        <v>233</v>
      </c>
      <c r="I87" s="14">
        <v>8</v>
      </c>
      <c r="J87" s="15">
        <v>186386</v>
      </c>
      <c r="K87" s="23">
        <v>73810</v>
      </c>
      <c r="L87" s="23">
        <v>26670</v>
      </c>
      <c r="M87" s="23">
        <v>9500</v>
      </c>
      <c r="N87" s="23"/>
      <c r="O87" s="23"/>
      <c r="P87" s="23">
        <v>2000</v>
      </c>
      <c r="Q87" s="23">
        <v>1000</v>
      </c>
      <c r="R87" s="23"/>
      <c r="S87" s="23">
        <v>2400</v>
      </c>
      <c r="T87" s="23"/>
      <c r="U87" s="23">
        <v>2640</v>
      </c>
      <c r="V87" s="16">
        <f t="shared" si="1"/>
        <v>118020</v>
      </c>
      <c r="W87" s="23">
        <v>2160</v>
      </c>
      <c r="X87" s="23">
        <v>579</v>
      </c>
      <c r="Y87" s="16">
        <f>Table1[[#This Row],[LOAD K.M]]+Table1[[#This Row],[EMPTY K.M]]</f>
        <v>2739</v>
      </c>
      <c r="Z87" s="16">
        <f>Table1[[#This Row],[INVOICE AMOUNT2]]-Table1[[#This Row],[Total Exp.]]</f>
        <v>68366</v>
      </c>
      <c r="AA87" s="12">
        <f>Table1[[#This Row],[Total Exp.]]/Table1[[#This Row],[Total k.m]]</f>
        <v>43.088718510405258</v>
      </c>
      <c r="AB87" s="17">
        <f>Table1[[#This Row],[Profit/loss]]/Table1[[#This Row],[Total k.m]]</f>
        <v>24.960204454180356</v>
      </c>
      <c r="AC87" s="12">
        <f>Table1[[#This Row],[INVOICE AMOUNT2]]/Table1[[#This Row],[Total k.m]]</f>
        <v>68.048922964585614</v>
      </c>
    </row>
    <row r="88" spans="1:29" x14ac:dyDescent="0.3">
      <c r="A88" s="18">
        <v>86</v>
      </c>
      <c r="B88" s="25" t="s">
        <v>234</v>
      </c>
      <c r="C88" s="42" t="s">
        <v>82</v>
      </c>
      <c r="D88" s="10">
        <v>45925</v>
      </c>
      <c r="E88" s="43" t="s">
        <v>225</v>
      </c>
      <c r="F88" s="42" t="s">
        <v>178</v>
      </c>
      <c r="G88" s="42" t="s">
        <v>228</v>
      </c>
      <c r="H88" s="42" t="s">
        <v>154</v>
      </c>
      <c r="I88" s="14">
        <v>6</v>
      </c>
      <c r="J88" s="15">
        <v>127428</v>
      </c>
      <c r="K88" s="21">
        <v>47442</v>
      </c>
      <c r="L88" s="12">
        <v>16950</v>
      </c>
      <c r="M88" s="12">
        <v>4000</v>
      </c>
      <c r="N88" s="12"/>
      <c r="O88" s="12"/>
      <c r="P88" s="12">
        <v>2000</v>
      </c>
      <c r="Q88" s="12">
        <v>1000</v>
      </c>
      <c r="R88" s="12"/>
      <c r="S88" s="12"/>
      <c r="T88" s="12">
        <v>218</v>
      </c>
      <c r="U88" s="12">
        <v>2640</v>
      </c>
      <c r="V88" s="16">
        <f t="shared" si="1"/>
        <v>74250</v>
      </c>
      <c r="W88" s="12">
        <v>1401</v>
      </c>
      <c r="X88" s="12">
        <v>371</v>
      </c>
      <c r="Y88" s="16">
        <f>Table1[[#This Row],[LOAD K.M]]+Table1[[#This Row],[EMPTY K.M]]</f>
        <v>1772</v>
      </c>
      <c r="Z88" s="16">
        <f>Table1[[#This Row],[INVOICE AMOUNT2]]-Table1[[#This Row],[Total Exp.]]</f>
        <v>53178</v>
      </c>
      <c r="AA88" s="12">
        <f>Table1[[#This Row],[Total Exp.]]/Table1[[#This Row],[Total k.m]]</f>
        <v>41.901805869074494</v>
      </c>
      <c r="AB88" s="17">
        <f>Table1[[#This Row],[Profit/loss]]/Table1[[#This Row],[Total k.m]]</f>
        <v>30.010158013544018</v>
      </c>
      <c r="AC88" s="12">
        <f>Table1[[#This Row],[INVOICE AMOUNT2]]/Table1[[#This Row],[Total k.m]]</f>
        <v>71.911963882618508</v>
      </c>
    </row>
    <row r="89" spans="1:29" x14ac:dyDescent="0.3">
      <c r="A89" s="7">
        <v>87</v>
      </c>
      <c r="B89" s="25" t="s">
        <v>235</v>
      </c>
      <c r="C89" s="12" t="s">
        <v>46</v>
      </c>
      <c r="D89" s="10">
        <v>45925</v>
      </c>
      <c r="E89" s="24" t="s">
        <v>236</v>
      </c>
      <c r="F89" s="12" t="s">
        <v>35</v>
      </c>
      <c r="G89" s="12" t="s">
        <v>99</v>
      </c>
      <c r="H89" s="12" t="s">
        <v>237</v>
      </c>
      <c r="I89" s="14">
        <v>8</v>
      </c>
      <c r="J89" s="15">
        <v>64560</v>
      </c>
      <c r="K89" s="21">
        <v>28406</v>
      </c>
      <c r="L89" s="23">
        <v>7470</v>
      </c>
      <c r="M89" s="23"/>
      <c r="N89" s="23"/>
      <c r="O89" s="23">
        <v>792</v>
      </c>
      <c r="P89" s="23">
        <v>2000</v>
      </c>
      <c r="Q89" s="23">
        <v>1000</v>
      </c>
      <c r="R89" s="23"/>
      <c r="S89" s="23"/>
      <c r="T89" s="23">
        <v>750</v>
      </c>
      <c r="U89" s="23"/>
      <c r="V89" s="16">
        <f t="shared" si="1"/>
        <v>40418</v>
      </c>
      <c r="W89" s="23">
        <v>712</v>
      </c>
      <c r="X89" s="23">
        <v>391</v>
      </c>
      <c r="Y89" s="16">
        <f>Table1[[#This Row],[LOAD K.M]]+Table1[[#This Row],[EMPTY K.M]]</f>
        <v>1103</v>
      </c>
      <c r="Z89" s="16">
        <f>Table1[[#This Row],[INVOICE AMOUNT2]]-Table1[[#This Row],[Total Exp.]]</f>
        <v>24142</v>
      </c>
      <c r="AA89" s="12">
        <f>Table1[[#This Row],[Total Exp.]]/Table1[[#This Row],[Total k.m]]</f>
        <v>36.643699002719856</v>
      </c>
      <c r="AB89" s="17">
        <f>Table1[[#This Row],[Profit/loss]]/Table1[[#This Row],[Total k.m]]</f>
        <v>21.887579329102447</v>
      </c>
      <c r="AC89" s="12">
        <f>Table1[[#This Row],[INVOICE AMOUNT2]]/Table1[[#This Row],[Total k.m]]</f>
        <v>58.5312783318223</v>
      </c>
    </row>
    <row r="90" spans="1:29" x14ac:dyDescent="0.3">
      <c r="A90" s="18">
        <v>88</v>
      </c>
      <c r="B90" s="25" t="s">
        <v>238</v>
      </c>
      <c r="C90" s="12" t="s">
        <v>93</v>
      </c>
      <c r="D90" s="10">
        <v>45925</v>
      </c>
      <c r="E90" s="24" t="s">
        <v>236</v>
      </c>
      <c r="F90" s="12" t="s">
        <v>35</v>
      </c>
      <c r="G90" s="12" t="s">
        <v>36</v>
      </c>
      <c r="H90" s="12" t="s">
        <v>70</v>
      </c>
      <c r="I90" s="14">
        <v>8</v>
      </c>
      <c r="J90" s="15">
        <v>147740</v>
      </c>
      <c r="K90" s="21">
        <v>57552</v>
      </c>
      <c r="L90" s="12">
        <v>16032</v>
      </c>
      <c r="M90" s="12">
        <v>4500</v>
      </c>
      <c r="N90" s="12"/>
      <c r="O90" s="12"/>
      <c r="P90" s="12">
        <v>2000</v>
      </c>
      <c r="Q90" s="12">
        <v>1000</v>
      </c>
      <c r="R90" s="12"/>
      <c r="S90" s="12"/>
      <c r="T90" s="12"/>
      <c r="U90" s="12"/>
      <c r="V90" s="16">
        <f t="shared" si="1"/>
        <v>81084</v>
      </c>
      <c r="W90" s="12">
        <v>1258</v>
      </c>
      <c r="X90" s="12">
        <v>853</v>
      </c>
      <c r="Y90" s="16">
        <f>Table1[[#This Row],[LOAD K.M]]+Table1[[#This Row],[EMPTY K.M]]</f>
        <v>2111</v>
      </c>
      <c r="Z90" s="16">
        <f>Table1[[#This Row],[INVOICE AMOUNT2]]-Table1[[#This Row],[Total Exp.]]</f>
        <v>66656</v>
      </c>
      <c r="AA90" s="12">
        <f>Table1[[#This Row],[Total Exp.]]/Table1[[#This Row],[Total k.m]]</f>
        <v>38.410232117479865</v>
      </c>
      <c r="AB90" s="17">
        <f>Table1[[#This Row],[Profit/loss]]/Table1[[#This Row],[Total k.m]]</f>
        <v>31.57555660824254</v>
      </c>
      <c r="AC90" s="12">
        <f>Table1[[#This Row],[INVOICE AMOUNT2]]/Table1[[#This Row],[Total k.m]]</f>
        <v>69.985788725722401</v>
      </c>
    </row>
    <row r="91" spans="1:29" x14ac:dyDescent="0.3">
      <c r="A91" s="7">
        <v>89</v>
      </c>
      <c r="B91" s="25" t="s">
        <v>239</v>
      </c>
      <c r="C91" s="12" t="s">
        <v>72</v>
      </c>
      <c r="D91" s="10">
        <v>45925</v>
      </c>
      <c r="E91" s="24" t="s">
        <v>236</v>
      </c>
      <c r="F91" s="12" t="s">
        <v>65</v>
      </c>
      <c r="G91" s="12" t="s">
        <v>66</v>
      </c>
      <c r="H91" s="12" t="s">
        <v>240</v>
      </c>
      <c r="I91" s="14">
        <v>8</v>
      </c>
      <c r="J91" s="15">
        <v>156982</v>
      </c>
      <c r="K91" s="21">
        <v>63457</v>
      </c>
      <c r="L91" s="23">
        <v>24168</v>
      </c>
      <c r="M91" s="23">
        <v>8500</v>
      </c>
      <c r="N91" s="23"/>
      <c r="O91" s="23"/>
      <c r="P91" s="23">
        <v>2000</v>
      </c>
      <c r="Q91" s="23">
        <v>1000</v>
      </c>
      <c r="R91" s="23"/>
      <c r="S91" s="23">
        <v>450</v>
      </c>
      <c r="T91" s="23">
        <v>3760</v>
      </c>
      <c r="U91" s="23">
        <v>2640</v>
      </c>
      <c r="V91" s="16">
        <f t="shared" si="1"/>
        <v>105975</v>
      </c>
      <c r="W91" s="23">
        <v>1835</v>
      </c>
      <c r="X91" s="23">
        <v>478</v>
      </c>
      <c r="Y91" s="16">
        <f>Table1[[#This Row],[LOAD K.M]]+Table1[[#This Row],[EMPTY K.M]]</f>
        <v>2313</v>
      </c>
      <c r="Z91" s="16">
        <f>Table1[[#This Row],[INVOICE AMOUNT2]]-Table1[[#This Row],[Total Exp.]]</f>
        <v>51007</v>
      </c>
      <c r="AA91" s="12">
        <f>Table1[[#This Row],[Total Exp.]]/Table1[[#This Row],[Total k.m]]</f>
        <v>45.81712062256809</v>
      </c>
      <c r="AB91" s="17">
        <f>Table1[[#This Row],[Profit/loss]]/Table1[[#This Row],[Total k.m]]</f>
        <v>22.052313013402507</v>
      </c>
      <c r="AC91" s="12">
        <f>Table1[[#This Row],[INVOICE AMOUNT2]]/Table1[[#This Row],[Total k.m]]</f>
        <v>67.869433635970594</v>
      </c>
    </row>
    <row r="92" spans="1:29" x14ac:dyDescent="0.3">
      <c r="A92" s="18">
        <v>90</v>
      </c>
      <c r="B92" s="25" t="s">
        <v>241</v>
      </c>
      <c r="C92" s="12" t="s">
        <v>59</v>
      </c>
      <c r="D92" s="10">
        <v>45925</v>
      </c>
      <c r="E92" s="24" t="s">
        <v>236</v>
      </c>
      <c r="F92" s="12" t="s">
        <v>65</v>
      </c>
      <c r="G92" s="12" t="s">
        <v>66</v>
      </c>
      <c r="H92" s="12" t="s">
        <v>88</v>
      </c>
      <c r="I92" s="14">
        <v>7</v>
      </c>
      <c r="J92" s="15">
        <v>147777</v>
      </c>
      <c r="K92" s="21">
        <v>59842</v>
      </c>
      <c r="L92" s="12">
        <v>19927</v>
      </c>
      <c r="M92" s="12">
        <v>6000</v>
      </c>
      <c r="N92" s="12"/>
      <c r="O92" s="12"/>
      <c r="P92" s="12">
        <v>2000</v>
      </c>
      <c r="Q92" s="12">
        <v>1000</v>
      </c>
      <c r="R92" s="12"/>
      <c r="S92" s="12"/>
      <c r="T92" s="12"/>
      <c r="U92" s="12">
        <v>2601</v>
      </c>
      <c r="V92" s="16">
        <f t="shared" si="1"/>
        <v>91370</v>
      </c>
      <c r="W92" s="12">
        <v>2058</v>
      </c>
      <c r="X92" s="12">
        <v>128</v>
      </c>
      <c r="Y92" s="16">
        <f>Table1[[#This Row],[LOAD K.M]]+Table1[[#This Row],[EMPTY K.M]]</f>
        <v>2186</v>
      </c>
      <c r="Z92" s="16">
        <f>Table1[[#This Row],[INVOICE AMOUNT2]]-Table1[[#This Row],[Total Exp.]]</f>
        <v>56407</v>
      </c>
      <c r="AA92" s="12">
        <f>Table1[[#This Row],[Total Exp.]]/Table1[[#This Row],[Total k.m]]</f>
        <v>41.797804208600184</v>
      </c>
      <c r="AB92" s="17">
        <f>Table1[[#This Row],[Profit/loss]]/Table1[[#This Row],[Total k.m]]</f>
        <v>25.803751143641353</v>
      </c>
      <c r="AC92" s="12">
        <f>Table1[[#This Row],[INVOICE AMOUNT2]]/Table1[[#This Row],[Total k.m]]</f>
        <v>67.601555352241533</v>
      </c>
    </row>
    <row r="93" spans="1:29" x14ac:dyDescent="0.3">
      <c r="A93" s="7">
        <v>91</v>
      </c>
      <c r="B93" s="25" t="s">
        <v>242</v>
      </c>
      <c r="C93" s="13" t="s">
        <v>63</v>
      </c>
      <c r="D93" s="10">
        <v>45925</v>
      </c>
      <c r="E93" s="11" t="s">
        <v>236</v>
      </c>
      <c r="F93" s="13" t="s">
        <v>30</v>
      </c>
      <c r="G93" s="13" t="s">
        <v>243</v>
      </c>
      <c r="H93" s="13" t="s">
        <v>36</v>
      </c>
      <c r="I93" s="14">
        <v>6</v>
      </c>
      <c r="J93" s="14">
        <v>60000</v>
      </c>
      <c r="K93" s="29">
        <v>33173</v>
      </c>
      <c r="L93" s="30">
        <v>11914</v>
      </c>
      <c r="M93" s="30">
        <v>6500</v>
      </c>
      <c r="N93" s="30"/>
      <c r="O93" s="30"/>
      <c r="P93" s="30"/>
      <c r="Q93" s="30">
        <v>1000</v>
      </c>
      <c r="R93" s="30"/>
      <c r="S93" s="30"/>
      <c r="T93" s="30"/>
      <c r="U93" s="30"/>
      <c r="V93" s="16">
        <f t="shared" si="1"/>
        <v>52587</v>
      </c>
      <c r="W93" s="30">
        <v>1198</v>
      </c>
      <c r="X93" s="30"/>
      <c r="Y93" s="16">
        <f>Table1[[#This Row],[LOAD K.M]]+Table1[[#This Row],[EMPTY K.M]]</f>
        <v>1198</v>
      </c>
      <c r="Z93" s="16">
        <f>Table1[[#This Row],[INVOICE AMOUNT2]]-Table1[[#This Row],[Total Exp.]]</f>
        <v>7413</v>
      </c>
      <c r="AA93" s="13">
        <f>Table1[[#This Row],[Total Exp.]]/Table1[[#This Row],[Total k.m]]</f>
        <v>43.895659432387312</v>
      </c>
      <c r="AB93" s="26">
        <f>Table1[[#This Row],[Profit/loss]]/Table1[[#This Row],[Total k.m]]</f>
        <v>6.187813021702838</v>
      </c>
      <c r="AC93" s="12">
        <f>Table1[[#This Row],[INVOICE AMOUNT2]]/Table1[[#This Row],[Total k.m]]</f>
        <v>50.083472454090149</v>
      </c>
    </row>
    <row r="94" spans="1:29" x14ac:dyDescent="0.3">
      <c r="A94" s="18">
        <v>92</v>
      </c>
      <c r="B94" s="25" t="s">
        <v>244</v>
      </c>
      <c r="C94" s="12" t="s">
        <v>109</v>
      </c>
      <c r="D94" s="10">
        <v>45925</v>
      </c>
      <c r="E94" s="24" t="s">
        <v>236</v>
      </c>
      <c r="F94" s="12" t="s">
        <v>245</v>
      </c>
      <c r="G94" s="12" t="s">
        <v>228</v>
      </c>
      <c r="H94" s="12" t="s">
        <v>32</v>
      </c>
      <c r="I94" s="14" t="s">
        <v>246</v>
      </c>
      <c r="J94" s="15">
        <v>69776</v>
      </c>
      <c r="K94" s="21">
        <v>23108</v>
      </c>
      <c r="L94" s="12">
        <v>8308</v>
      </c>
      <c r="M94" s="12">
        <v>1500</v>
      </c>
      <c r="N94" s="12"/>
      <c r="O94" s="12"/>
      <c r="P94" s="12">
        <v>2000</v>
      </c>
      <c r="Q94" s="12">
        <v>1000</v>
      </c>
      <c r="R94" s="12"/>
      <c r="S94" s="12"/>
      <c r="T94" s="12"/>
      <c r="U94" s="12"/>
      <c r="V94" s="16">
        <f t="shared" si="1"/>
        <v>35916</v>
      </c>
      <c r="W94" s="12">
        <v>818</v>
      </c>
      <c r="X94" s="12">
        <v>24</v>
      </c>
      <c r="Y94" s="16">
        <f>Table1[[#This Row],[LOAD K.M]]+Table1[[#This Row],[EMPTY K.M]]</f>
        <v>842</v>
      </c>
      <c r="Z94" s="16">
        <f>Table1[[#This Row],[INVOICE AMOUNT2]]-Table1[[#This Row],[Total Exp.]]</f>
        <v>33860</v>
      </c>
      <c r="AA94" s="12">
        <f>Table1[[#This Row],[Total Exp.]]/Table1[[#This Row],[Total k.m]]</f>
        <v>42.655581947743471</v>
      </c>
      <c r="AB94" s="17">
        <f>Table1[[#This Row],[Profit/loss]]/Table1[[#This Row],[Total k.m]]</f>
        <v>40.213776722090259</v>
      </c>
      <c r="AC94" s="12">
        <f>Table1[[#This Row],[INVOICE AMOUNT2]]/Table1[[#This Row],[Total k.m]]</f>
        <v>82.86935866983373</v>
      </c>
    </row>
    <row r="95" spans="1:29" x14ac:dyDescent="0.3">
      <c r="A95" s="7">
        <v>93</v>
      </c>
      <c r="B95" s="25" t="s">
        <v>247</v>
      </c>
      <c r="C95" s="12" t="s">
        <v>87</v>
      </c>
      <c r="D95" s="10">
        <v>45925</v>
      </c>
      <c r="E95" s="24" t="s">
        <v>248</v>
      </c>
      <c r="F95" s="12" t="s">
        <v>35</v>
      </c>
      <c r="G95" s="12" t="s">
        <v>99</v>
      </c>
      <c r="H95" s="12" t="s">
        <v>194</v>
      </c>
      <c r="I95" s="14">
        <v>8</v>
      </c>
      <c r="J95" s="15">
        <v>125696</v>
      </c>
      <c r="K95" s="27">
        <v>51630</v>
      </c>
      <c r="L95" s="23">
        <v>18553</v>
      </c>
      <c r="M95" s="23">
        <v>4000</v>
      </c>
      <c r="N95" s="23"/>
      <c r="O95" s="23"/>
      <c r="P95" s="23">
        <v>2000</v>
      </c>
      <c r="Q95" s="23">
        <v>1000</v>
      </c>
      <c r="R95" s="23"/>
      <c r="S95" s="23"/>
      <c r="T95" s="23">
        <v>1000</v>
      </c>
      <c r="U95" s="23">
        <v>2623</v>
      </c>
      <c r="V95" s="16">
        <f t="shared" si="1"/>
        <v>80806</v>
      </c>
      <c r="W95" s="23">
        <v>1171</v>
      </c>
      <c r="X95" s="23">
        <v>799</v>
      </c>
      <c r="Y95" s="16">
        <f>Table1[[#This Row],[LOAD K.M]]+Table1[[#This Row],[EMPTY K.M]]</f>
        <v>1970</v>
      </c>
      <c r="Z95" s="16">
        <f>Table1[[#This Row],[INVOICE AMOUNT2]]-Table1[[#This Row],[Total Exp.]]</f>
        <v>44890</v>
      </c>
      <c r="AA95" s="12">
        <f>Table1[[#This Row],[Total Exp.]]/Table1[[#This Row],[Total k.m]]</f>
        <v>41.018274111675126</v>
      </c>
      <c r="AB95" s="17">
        <f>Table1[[#This Row],[Profit/loss]]/Table1[[#This Row],[Total k.m]]</f>
        <v>22.786802030456851</v>
      </c>
      <c r="AC95" s="12">
        <f>Table1[[#This Row],[INVOICE AMOUNT2]]/Table1[[#This Row],[Total k.m]]</f>
        <v>63.805076142131981</v>
      </c>
    </row>
    <row r="96" spans="1:29" x14ac:dyDescent="0.3">
      <c r="A96" s="18">
        <v>94</v>
      </c>
      <c r="B96" s="25" t="s">
        <v>249</v>
      </c>
      <c r="C96" s="12" t="s">
        <v>84</v>
      </c>
      <c r="D96" s="10">
        <v>45925</v>
      </c>
      <c r="E96" s="24" t="s">
        <v>248</v>
      </c>
      <c r="F96" s="12" t="s">
        <v>35</v>
      </c>
      <c r="G96" s="12" t="s">
        <v>250</v>
      </c>
      <c r="H96" s="12" t="s">
        <v>66</v>
      </c>
      <c r="I96" s="14">
        <v>8</v>
      </c>
      <c r="J96" s="15">
        <v>143543</v>
      </c>
      <c r="K96" s="21">
        <v>58142</v>
      </c>
      <c r="L96" s="12">
        <v>20186</v>
      </c>
      <c r="M96" s="12">
        <v>7000</v>
      </c>
      <c r="N96" s="12"/>
      <c r="O96" s="12"/>
      <c r="P96" s="12">
        <v>2000</v>
      </c>
      <c r="Q96" s="12">
        <v>1500</v>
      </c>
      <c r="R96" s="12"/>
      <c r="S96" s="12">
        <v>600</v>
      </c>
      <c r="T96" s="12"/>
      <c r="U96" s="12">
        <v>2640</v>
      </c>
      <c r="V96" s="16">
        <f t="shared" si="1"/>
        <v>92068</v>
      </c>
      <c r="W96" s="12">
        <v>2070</v>
      </c>
      <c r="X96" s="12">
        <v>40</v>
      </c>
      <c r="Y96" s="16">
        <f>Table1[[#This Row],[LOAD K.M]]+Table1[[#This Row],[EMPTY K.M]]</f>
        <v>2110</v>
      </c>
      <c r="Z96" s="16">
        <f>Table1[[#This Row],[INVOICE AMOUNT2]]-Table1[[#This Row],[Total Exp.]]</f>
        <v>51475</v>
      </c>
      <c r="AA96" s="12">
        <f>Table1[[#This Row],[Total Exp.]]/Table1[[#This Row],[Total k.m]]</f>
        <v>43.634123222748812</v>
      </c>
      <c r="AB96" s="17">
        <f>Table1[[#This Row],[Profit/loss]]/Table1[[#This Row],[Total k.m]]</f>
        <v>24.395734597156398</v>
      </c>
      <c r="AC96" s="12">
        <f>Table1[[#This Row],[INVOICE AMOUNT2]]/Table1[[#This Row],[Total k.m]]</f>
        <v>68.029857819905217</v>
      </c>
    </row>
    <row r="97" spans="1:29" x14ac:dyDescent="0.3">
      <c r="A97" s="7">
        <v>95</v>
      </c>
      <c r="B97" s="25" t="s">
        <v>251</v>
      </c>
      <c r="C97" s="13" t="s">
        <v>69</v>
      </c>
      <c r="D97" s="10">
        <v>45925</v>
      </c>
      <c r="E97" s="11" t="s">
        <v>248</v>
      </c>
      <c r="F97" s="13" t="s">
        <v>35</v>
      </c>
      <c r="G97" s="13" t="s">
        <v>36</v>
      </c>
      <c r="H97" s="13" t="s">
        <v>127</v>
      </c>
      <c r="I97" s="14">
        <v>8</v>
      </c>
      <c r="J97" s="15">
        <v>144620</v>
      </c>
      <c r="K97" s="27">
        <v>57454</v>
      </c>
      <c r="L97" s="23">
        <v>17087</v>
      </c>
      <c r="M97" s="23">
        <v>4500</v>
      </c>
      <c r="N97" s="23"/>
      <c r="O97" s="23"/>
      <c r="P97" s="23">
        <v>2000</v>
      </c>
      <c r="Q97" s="23">
        <v>1000</v>
      </c>
      <c r="R97" s="23"/>
      <c r="S97" s="23"/>
      <c r="T97" s="23"/>
      <c r="U97" s="23">
        <v>3960</v>
      </c>
      <c r="V97" s="16">
        <f t="shared" si="1"/>
        <v>86001</v>
      </c>
      <c r="W97" s="23">
        <v>1251</v>
      </c>
      <c r="X97" s="23">
        <v>864</v>
      </c>
      <c r="Y97" s="16">
        <f>Table1[[#This Row],[LOAD K.M]]+Table1[[#This Row],[EMPTY K.M]]</f>
        <v>2115</v>
      </c>
      <c r="Z97" s="16">
        <f>Table1[[#This Row],[INVOICE AMOUNT2]]-Table1[[#This Row],[Total Exp.]]</f>
        <v>58619</v>
      </c>
      <c r="AA97" s="12">
        <f>Table1[[#This Row],[Total Exp.]]/Table1[[#This Row],[Total k.m]]</f>
        <v>40.662411347517732</v>
      </c>
      <c r="AB97" s="17">
        <f>Table1[[#This Row],[Profit/loss]]/Table1[[#This Row],[Total k.m]]</f>
        <v>27.715839243498817</v>
      </c>
      <c r="AC97" s="12">
        <f>Table1[[#This Row],[INVOICE AMOUNT2]]/Table1[[#This Row],[Total k.m]]</f>
        <v>68.378250591016553</v>
      </c>
    </row>
    <row r="98" spans="1:29" x14ac:dyDescent="0.3">
      <c r="A98" s="18">
        <v>96</v>
      </c>
      <c r="B98" s="25" t="s">
        <v>252</v>
      </c>
      <c r="C98" s="12" t="s">
        <v>98</v>
      </c>
      <c r="D98" s="10">
        <v>45925</v>
      </c>
      <c r="E98" s="24" t="s">
        <v>248</v>
      </c>
      <c r="F98" s="12" t="s">
        <v>30</v>
      </c>
      <c r="G98" s="12" t="s">
        <v>154</v>
      </c>
      <c r="H98" s="12" t="s">
        <v>36</v>
      </c>
      <c r="I98" s="14">
        <v>6</v>
      </c>
      <c r="J98" s="15">
        <v>38000</v>
      </c>
      <c r="K98" s="21">
        <v>37098</v>
      </c>
      <c r="L98" s="38">
        <v>13508.3</v>
      </c>
      <c r="M98" s="12">
        <v>4000</v>
      </c>
      <c r="N98" s="12"/>
      <c r="O98" s="12"/>
      <c r="P98" s="12"/>
      <c r="Q98" s="12">
        <v>1000</v>
      </c>
      <c r="R98" s="12"/>
      <c r="S98" s="12"/>
      <c r="T98" s="12"/>
      <c r="U98" s="12">
        <v>1320</v>
      </c>
      <c r="V98" s="16">
        <f t="shared" si="1"/>
        <v>56926.3</v>
      </c>
      <c r="W98" s="12">
        <v>1360</v>
      </c>
      <c r="X98" s="12">
        <v>15</v>
      </c>
      <c r="Y98" s="16">
        <f>Table1[[#This Row],[LOAD K.M]]+Table1[[#This Row],[EMPTY K.M]]</f>
        <v>1375</v>
      </c>
      <c r="Z98" s="16">
        <f>Table1[[#This Row],[INVOICE AMOUNT2]]-Table1[[#This Row],[Total Exp.]]</f>
        <v>-18926.300000000003</v>
      </c>
      <c r="AA98" s="12">
        <f>Table1[[#This Row],[Total Exp.]]/Table1[[#This Row],[Total k.m]]</f>
        <v>41.400945454545457</v>
      </c>
      <c r="AB98" s="17">
        <f>Table1[[#This Row],[Profit/loss]]/Table1[[#This Row],[Total k.m]]</f>
        <v>-13.764581818181821</v>
      </c>
      <c r="AC98" s="12">
        <f>Table1[[#This Row],[INVOICE AMOUNT2]]/Table1[[#This Row],[Total k.m]]</f>
        <v>27.636363636363637</v>
      </c>
    </row>
    <row r="99" spans="1:29" x14ac:dyDescent="0.3">
      <c r="A99" s="7">
        <v>97</v>
      </c>
      <c r="B99" s="25" t="s">
        <v>253</v>
      </c>
      <c r="C99" s="12" t="s">
        <v>46</v>
      </c>
      <c r="D99" s="10">
        <v>45925</v>
      </c>
      <c r="E99" s="24" t="s">
        <v>254</v>
      </c>
      <c r="F99" s="12" t="s">
        <v>30</v>
      </c>
      <c r="G99" s="12" t="s">
        <v>31</v>
      </c>
      <c r="H99" s="12" t="s">
        <v>32</v>
      </c>
      <c r="I99" s="14">
        <v>6</v>
      </c>
      <c r="J99" s="15">
        <v>38000</v>
      </c>
      <c r="K99" s="21">
        <v>26019</v>
      </c>
      <c r="L99" s="23">
        <v>8565</v>
      </c>
      <c r="M99" s="23">
        <v>500</v>
      </c>
      <c r="N99" s="23"/>
      <c r="O99" s="23"/>
      <c r="P99" s="23"/>
      <c r="Q99" s="23">
        <v>1000</v>
      </c>
      <c r="R99" s="23"/>
      <c r="S99" s="23"/>
      <c r="T99" s="23"/>
      <c r="U99" s="23">
        <v>2143</v>
      </c>
      <c r="V99" s="16">
        <f t="shared" si="1"/>
        <v>38227</v>
      </c>
      <c r="W99" s="23">
        <v>923</v>
      </c>
      <c r="X99" s="23">
        <v>31</v>
      </c>
      <c r="Y99" s="16">
        <f>Table1[[#This Row],[LOAD K.M]]+Table1[[#This Row],[EMPTY K.M]]</f>
        <v>954</v>
      </c>
      <c r="Z99" s="16">
        <f>Table1[[#This Row],[INVOICE AMOUNT2]]-Table1[[#This Row],[Total Exp.]]</f>
        <v>-227</v>
      </c>
      <c r="AA99" s="12">
        <f>Table1[[#This Row],[Total Exp.]]/Table1[[#This Row],[Total k.m]]</f>
        <v>40.070230607966458</v>
      </c>
      <c r="AB99" s="17">
        <f>Table1[[#This Row],[Profit/loss]]/Table1[[#This Row],[Total k.m]]</f>
        <v>-0.23794549266247381</v>
      </c>
      <c r="AC99" s="12">
        <f>Table1[[#This Row],[INVOICE AMOUNT2]]/Table1[[#This Row],[Total k.m]]</f>
        <v>39.832285115303982</v>
      </c>
    </row>
    <row r="100" spans="1:29" x14ac:dyDescent="0.3">
      <c r="A100" s="18">
        <v>98</v>
      </c>
      <c r="B100" s="25" t="s">
        <v>255</v>
      </c>
      <c r="C100" s="12" t="s">
        <v>134</v>
      </c>
      <c r="D100" s="10">
        <v>45925</v>
      </c>
      <c r="E100" s="24" t="s">
        <v>256</v>
      </c>
      <c r="F100" s="12" t="s">
        <v>30</v>
      </c>
      <c r="G100" s="12" t="s">
        <v>31</v>
      </c>
      <c r="H100" s="12" t="s">
        <v>32</v>
      </c>
      <c r="I100" s="14">
        <v>6</v>
      </c>
      <c r="J100" s="15">
        <v>38000</v>
      </c>
      <c r="K100" s="21">
        <v>25296</v>
      </c>
      <c r="L100" s="21">
        <v>8612</v>
      </c>
      <c r="M100" s="12">
        <v>500</v>
      </c>
      <c r="N100" s="12"/>
      <c r="O100" s="12"/>
      <c r="P100" s="12"/>
      <c r="Q100" s="12">
        <v>1000</v>
      </c>
      <c r="R100" s="12"/>
      <c r="S100" s="12"/>
      <c r="T100" s="12"/>
      <c r="U100" s="12"/>
      <c r="V100" s="16">
        <f t="shared" si="1"/>
        <v>35408</v>
      </c>
      <c r="W100" s="12">
        <v>927</v>
      </c>
      <c r="X100" s="12">
        <v>32</v>
      </c>
      <c r="Y100" s="16">
        <f>Table1[[#This Row],[LOAD K.M]]+Table1[[#This Row],[EMPTY K.M]]</f>
        <v>959</v>
      </c>
      <c r="Z100" s="16">
        <f>Table1[[#This Row],[INVOICE AMOUNT2]]-Table1[[#This Row],[Total Exp.]]</f>
        <v>2592</v>
      </c>
      <c r="AA100" s="12">
        <f>Table1[[#This Row],[Total Exp.]]/Table1[[#This Row],[Total k.m]]</f>
        <v>36.92179353493222</v>
      </c>
      <c r="AB100" s="17">
        <f>Table1[[#This Row],[Profit/loss]]/Table1[[#This Row],[Total k.m]]</f>
        <v>2.7028154327424398</v>
      </c>
      <c r="AC100" s="12">
        <f>Table1[[#This Row],[INVOICE AMOUNT2]]/Table1[[#This Row],[Total k.m]]</f>
        <v>39.624608967674661</v>
      </c>
    </row>
    <row r="101" spans="1:29" x14ac:dyDescent="0.3">
      <c r="A101" s="7">
        <v>99</v>
      </c>
      <c r="B101" s="25" t="s">
        <v>257</v>
      </c>
      <c r="C101" s="13" t="s">
        <v>69</v>
      </c>
      <c r="D101" s="10">
        <v>45925</v>
      </c>
      <c r="E101" s="11" t="s">
        <v>221</v>
      </c>
      <c r="F101" s="13" t="s">
        <v>178</v>
      </c>
      <c r="G101" s="13" t="s">
        <v>228</v>
      </c>
      <c r="H101" s="13" t="s">
        <v>229</v>
      </c>
      <c r="I101" s="14">
        <v>6</v>
      </c>
      <c r="J101" s="15">
        <v>96960</v>
      </c>
      <c r="K101" s="27">
        <v>42884</v>
      </c>
      <c r="L101" s="23">
        <v>16978</v>
      </c>
      <c r="M101" s="23">
        <v>5200</v>
      </c>
      <c r="N101" s="23"/>
      <c r="O101" s="23"/>
      <c r="P101" s="23">
        <v>2000</v>
      </c>
      <c r="Q101" s="23">
        <v>1000</v>
      </c>
      <c r="R101" s="23"/>
      <c r="S101" s="23"/>
      <c r="T101" s="23"/>
      <c r="U101" s="23">
        <v>1320</v>
      </c>
      <c r="V101" s="16">
        <f t="shared" si="1"/>
        <v>69382</v>
      </c>
      <c r="W101" s="23">
        <v>793</v>
      </c>
      <c r="X101" s="23">
        <v>827</v>
      </c>
      <c r="Y101" s="16">
        <f>Table1[[#This Row],[LOAD K.M]]+Table1[[#This Row],[EMPTY K.M]]</f>
        <v>1620</v>
      </c>
      <c r="Z101" s="16">
        <f>Table1[[#This Row],[INVOICE AMOUNT2]]-Table1[[#This Row],[Total Exp.]]</f>
        <v>27578</v>
      </c>
      <c r="AA101" s="12">
        <f>Table1[[#This Row],[Total Exp.]]/Table1[[#This Row],[Total k.m]]</f>
        <v>42.828395061728394</v>
      </c>
      <c r="AB101" s="17">
        <f>Table1[[#This Row],[Profit/loss]]/Table1[[#This Row],[Total k.m]]</f>
        <v>17.023456790123458</v>
      </c>
      <c r="AC101" s="12">
        <f>Table1[[#This Row],[INVOICE AMOUNT2]]/Table1[[#This Row],[Total k.m]]</f>
        <v>59.851851851851855</v>
      </c>
    </row>
    <row r="102" spans="1:29" x14ac:dyDescent="0.3">
      <c r="A102" s="18">
        <v>100</v>
      </c>
      <c r="B102" s="25" t="s">
        <v>258</v>
      </c>
      <c r="C102" s="12" t="s">
        <v>82</v>
      </c>
      <c r="D102" s="10">
        <v>45925</v>
      </c>
      <c r="E102" s="11" t="s">
        <v>221</v>
      </c>
      <c r="F102" s="12" t="s">
        <v>35</v>
      </c>
      <c r="G102" s="12" t="s">
        <v>99</v>
      </c>
      <c r="H102" s="12" t="s">
        <v>259</v>
      </c>
      <c r="I102" s="14">
        <v>7</v>
      </c>
      <c r="J102" s="15">
        <v>101542</v>
      </c>
      <c r="K102" s="21">
        <v>37365</v>
      </c>
      <c r="L102" s="12">
        <v>16385</v>
      </c>
      <c r="M102" s="12">
        <v>500</v>
      </c>
      <c r="N102" s="12"/>
      <c r="O102" s="12"/>
      <c r="P102" s="12">
        <v>2000</v>
      </c>
      <c r="Q102" s="12">
        <v>1000</v>
      </c>
      <c r="R102" s="12"/>
      <c r="S102" s="12">
        <v>250</v>
      </c>
      <c r="T102" s="12"/>
      <c r="U102" s="12">
        <v>1320</v>
      </c>
      <c r="V102" s="16">
        <f t="shared" si="1"/>
        <v>58820</v>
      </c>
      <c r="W102" s="12">
        <v>820</v>
      </c>
      <c r="X102" s="12">
        <v>639</v>
      </c>
      <c r="Y102" s="16">
        <f>Table1[[#This Row],[LOAD K.M]]+Table1[[#This Row],[EMPTY K.M]]</f>
        <v>1459</v>
      </c>
      <c r="Z102" s="16">
        <f>Table1[[#This Row],[INVOICE AMOUNT2]]-Table1[[#This Row],[Total Exp.]]</f>
        <v>42722</v>
      </c>
      <c r="AA102" s="12">
        <f>Table1[[#This Row],[Total Exp.]]/Table1[[#This Row],[Total k.m]]</f>
        <v>40.315284441398219</v>
      </c>
      <c r="AB102" s="17">
        <f>Table1[[#This Row],[Profit/loss]]/Table1[[#This Row],[Total k.m]]</f>
        <v>29.281699794379712</v>
      </c>
      <c r="AC102" s="12">
        <f>Table1[[#This Row],[INVOICE AMOUNT2]]/Table1[[#This Row],[Total k.m]]</f>
        <v>69.596984235777924</v>
      </c>
    </row>
    <row r="103" spans="1:29" x14ac:dyDescent="0.3">
      <c r="A103" s="7">
        <v>101</v>
      </c>
      <c r="B103" s="25" t="s">
        <v>260</v>
      </c>
      <c r="C103" s="13" t="s">
        <v>63</v>
      </c>
      <c r="D103" s="10">
        <v>45925</v>
      </c>
      <c r="E103" s="11" t="s">
        <v>261</v>
      </c>
      <c r="F103" s="13" t="s">
        <v>178</v>
      </c>
      <c r="G103" s="13" t="s">
        <v>228</v>
      </c>
      <c r="H103" s="13" t="s">
        <v>100</v>
      </c>
      <c r="I103" s="14">
        <v>6</v>
      </c>
      <c r="J103" s="14">
        <v>139674</v>
      </c>
      <c r="K103" s="29">
        <v>56396</v>
      </c>
      <c r="L103" s="35">
        <v>21329.3</v>
      </c>
      <c r="M103" s="44">
        <v>6500</v>
      </c>
      <c r="N103" s="44"/>
      <c r="O103" s="44"/>
      <c r="P103" s="44">
        <v>2000</v>
      </c>
      <c r="Q103" s="44">
        <v>1000</v>
      </c>
      <c r="R103" s="44"/>
      <c r="S103" s="44"/>
      <c r="T103" s="44"/>
      <c r="U103" s="44">
        <v>1300</v>
      </c>
      <c r="V103" s="16">
        <f t="shared" si="1"/>
        <v>88525.3</v>
      </c>
      <c r="W103" s="44">
        <v>1732</v>
      </c>
      <c r="X103" s="44">
        <v>358</v>
      </c>
      <c r="Y103" s="16">
        <f>Table1[[#This Row],[LOAD K.M]]+Table1[[#This Row],[EMPTY K.M]]</f>
        <v>2090</v>
      </c>
      <c r="Z103" s="16">
        <f>Table1[[#This Row],[INVOICE AMOUNT2]]-Table1[[#This Row],[Total Exp.]]</f>
        <v>51148.7</v>
      </c>
      <c r="AA103" s="13">
        <f>Table1[[#This Row],[Total Exp.]]/Table1[[#This Row],[Total k.m]]</f>
        <v>42.356602870813397</v>
      </c>
      <c r="AB103" s="26">
        <f>Table1[[#This Row],[Profit/loss]]/Table1[[#This Row],[Total k.m]]</f>
        <v>24.473062200956935</v>
      </c>
      <c r="AC103" s="12">
        <f>Table1[[#This Row],[INVOICE AMOUNT2]]/Table1[[#This Row],[Total k.m]]</f>
        <v>66.829665071770336</v>
      </c>
    </row>
    <row r="104" spans="1:29" x14ac:dyDescent="0.3">
      <c r="A104" s="18">
        <v>102</v>
      </c>
      <c r="B104" s="25" t="s">
        <v>262</v>
      </c>
      <c r="C104" s="12" t="s">
        <v>75</v>
      </c>
      <c r="D104" s="10">
        <v>45955</v>
      </c>
      <c r="E104" s="24" t="s">
        <v>263</v>
      </c>
      <c r="F104" s="12" t="s">
        <v>30</v>
      </c>
      <c r="G104" s="12" t="s">
        <v>31</v>
      </c>
      <c r="H104" s="12" t="s">
        <v>264</v>
      </c>
      <c r="I104" s="14">
        <v>6</v>
      </c>
      <c r="J104" s="15">
        <v>110000</v>
      </c>
      <c r="K104" s="21">
        <v>38268</v>
      </c>
      <c r="L104" s="12">
        <v>12023</v>
      </c>
      <c r="M104" s="12">
        <v>5500</v>
      </c>
      <c r="N104" s="12"/>
      <c r="O104" s="12"/>
      <c r="P104" s="12"/>
      <c r="Q104" s="12">
        <v>1000</v>
      </c>
      <c r="R104" s="12"/>
      <c r="S104" s="12"/>
      <c r="T104" s="12"/>
      <c r="U104" s="12">
        <v>1250</v>
      </c>
      <c r="V104" s="16">
        <f t="shared" si="1"/>
        <v>58041</v>
      </c>
      <c r="W104" s="12">
        <v>1153</v>
      </c>
      <c r="X104" s="12">
        <v>303</v>
      </c>
      <c r="Y104" s="16">
        <f>Table1[[#This Row],[LOAD K.M]]+Table1[[#This Row],[EMPTY K.M]]</f>
        <v>1456</v>
      </c>
      <c r="Z104" s="16">
        <f>Table1[[#This Row],[INVOICE AMOUNT2]]-Table1[[#This Row],[Total Exp.]]</f>
        <v>51959</v>
      </c>
      <c r="AA104" s="12">
        <f>Table1[[#This Row],[Total Exp.]]/Table1[[#This Row],[Total k.m]]</f>
        <v>39.863324175824175</v>
      </c>
      <c r="AB104" s="17">
        <f>Table1[[#This Row],[Profit/loss]]/Table1[[#This Row],[Total k.m]]</f>
        <v>35.686126373626372</v>
      </c>
      <c r="AC104" s="12">
        <f>Table1[[#This Row],[INVOICE AMOUNT2]]/Table1[[#This Row],[Total k.m]]</f>
        <v>75.549450549450555</v>
      </c>
    </row>
    <row r="105" spans="1:29" x14ac:dyDescent="0.3">
      <c r="A105" s="7">
        <v>103</v>
      </c>
      <c r="B105" s="25" t="s">
        <v>265</v>
      </c>
      <c r="C105" s="12" t="s">
        <v>77</v>
      </c>
      <c r="D105" s="10">
        <v>45955</v>
      </c>
      <c r="E105" s="24" t="s">
        <v>263</v>
      </c>
      <c r="F105" s="12" t="s">
        <v>30</v>
      </c>
      <c r="G105" s="12" t="s">
        <v>31</v>
      </c>
      <c r="H105" s="12" t="s">
        <v>32</v>
      </c>
      <c r="I105" s="14">
        <v>6</v>
      </c>
      <c r="J105" s="15">
        <v>38000</v>
      </c>
      <c r="K105" s="21">
        <v>26684</v>
      </c>
      <c r="L105" s="23">
        <v>9565</v>
      </c>
      <c r="M105" s="23">
        <v>5000</v>
      </c>
      <c r="N105" s="23"/>
      <c r="O105" s="23"/>
      <c r="P105" s="23"/>
      <c r="Q105" s="23">
        <v>1000</v>
      </c>
      <c r="R105" s="23"/>
      <c r="S105" s="23"/>
      <c r="T105" s="23"/>
      <c r="U105" s="23"/>
      <c r="V105" s="16">
        <f t="shared" si="1"/>
        <v>42249</v>
      </c>
      <c r="W105" s="23">
        <v>977</v>
      </c>
      <c r="X105" s="23">
        <v>33</v>
      </c>
      <c r="Y105" s="16">
        <f>Table1[[#This Row],[LOAD K.M]]+Table1[[#This Row],[EMPTY K.M]]</f>
        <v>1010</v>
      </c>
      <c r="Z105" s="16">
        <f>Table1[[#This Row],[INVOICE AMOUNT2]]-Table1[[#This Row],[Total Exp.]]</f>
        <v>-4249</v>
      </c>
      <c r="AA105" s="12">
        <f>Table1[[#This Row],[Total Exp.]]/Table1[[#This Row],[Total k.m]]</f>
        <v>41.830693069306932</v>
      </c>
      <c r="AB105" s="17">
        <f>Table1[[#This Row],[Profit/loss]]/Table1[[#This Row],[Total k.m]]</f>
        <v>-4.2069306930693067</v>
      </c>
      <c r="AC105" s="12">
        <f>Table1[[#This Row],[INVOICE AMOUNT2]]/Table1[[#This Row],[Total k.m]]</f>
        <v>37.623762376237622</v>
      </c>
    </row>
    <row r="106" spans="1:29" x14ac:dyDescent="0.3">
      <c r="A106" s="18">
        <v>104</v>
      </c>
      <c r="B106" s="25" t="s">
        <v>266</v>
      </c>
      <c r="C106" s="12" t="s">
        <v>102</v>
      </c>
      <c r="D106" s="10">
        <v>45955</v>
      </c>
      <c r="E106" s="24" t="s">
        <v>263</v>
      </c>
      <c r="F106" s="12" t="s">
        <v>30</v>
      </c>
      <c r="G106" s="12" t="s">
        <v>31</v>
      </c>
      <c r="H106" s="12" t="s">
        <v>32</v>
      </c>
      <c r="I106" s="14">
        <v>6</v>
      </c>
      <c r="J106" s="15">
        <v>38000</v>
      </c>
      <c r="K106" s="21">
        <v>25247</v>
      </c>
      <c r="L106" s="12">
        <v>7940</v>
      </c>
      <c r="M106" s="12">
        <v>5500</v>
      </c>
      <c r="N106" s="12"/>
      <c r="O106" s="12"/>
      <c r="P106" s="12"/>
      <c r="Q106" s="12">
        <v>1000</v>
      </c>
      <c r="R106" s="12"/>
      <c r="S106" s="12"/>
      <c r="T106" s="12"/>
      <c r="U106" s="12"/>
      <c r="V106" s="16">
        <f t="shared" si="1"/>
        <v>39687</v>
      </c>
      <c r="W106" s="12">
        <v>776</v>
      </c>
      <c r="X106" s="12">
        <v>187</v>
      </c>
      <c r="Y106" s="16">
        <f>Table1[[#This Row],[LOAD K.M]]+Table1[[#This Row],[EMPTY K.M]]</f>
        <v>963</v>
      </c>
      <c r="Z106" s="16">
        <f>Table1[[#This Row],[INVOICE AMOUNT2]]-Table1[[#This Row],[Total Exp.]]</f>
        <v>-1687</v>
      </c>
      <c r="AA106" s="12">
        <f>Table1[[#This Row],[Total Exp.]]/Table1[[#This Row],[Total k.m]]</f>
        <v>41.211838006230529</v>
      </c>
      <c r="AB106" s="17">
        <f>Table1[[#This Row],[Profit/loss]]/Table1[[#This Row],[Total k.m]]</f>
        <v>-1.7518172377985461</v>
      </c>
      <c r="AC106" s="12">
        <f>Table1[[#This Row],[INVOICE AMOUNT2]]/Table1[[#This Row],[Total k.m]]</f>
        <v>39.460020768431981</v>
      </c>
    </row>
    <row r="107" spans="1:29" x14ac:dyDescent="0.3">
      <c r="A107" s="7">
        <v>105</v>
      </c>
      <c r="B107" s="25" t="s">
        <v>267</v>
      </c>
      <c r="C107" s="12" t="s">
        <v>29</v>
      </c>
      <c r="D107" s="10">
        <v>45955</v>
      </c>
      <c r="E107" s="24" t="s">
        <v>263</v>
      </c>
      <c r="F107" s="12" t="s">
        <v>30</v>
      </c>
      <c r="G107" s="12" t="s">
        <v>31</v>
      </c>
      <c r="H107" s="12" t="s">
        <v>32</v>
      </c>
      <c r="I107" s="14">
        <v>6</v>
      </c>
      <c r="J107" s="15">
        <v>38000</v>
      </c>
      <c r="K107" s="21">
        <v>26946</v>
      </c>
      <c r="L107" s="23">
        <v>9245</v>
      </c>
      <c r="M107" s="23">
        <v>5500</v>
      </c>
      <c r="N107" s="23"/>
      <c r="O107" s="23"/>
      <c r="P107" s="23"/>
      <c r="Q107" s="23">
        <v>1000</v>
      </c>
      <c r="R107" s="23"/>
      <c r="S107" s="23"/>
      <c r="T107" s="23"/>
      <c r="U107" s="23"/>
      <c r="V107" s="16">
        <f t="shared" si="1"/>
        <v>42691</v>
      </c>
      <c r="W107" s="23">
        <v>987</v>
      </c>
      <c r="X107" s="23">
        <v>35</v>
      </c>
      <c r="Y107" s="16">
        <f>Table1[[#This Row],[LOAD K.M]]+Table1[[#This Row],[EMPTY K.M]]</f>
        <v>1022</v>
      </c>
      <c r="Z107" s="16">
        <f>Table1[[#This Row],[INVOICE AMOUNT2]]-Table1[[#This Row],[Total Exp.]]</f>
        <v>-4691</v>
      </c>
      <c r="AA107" s="12">
        <f>Table1[[#This Row],[Total Exp.]]/Table1[[#This Row],[Total k.m]]</f>
        <v>41.772015655577299</v>
      </c>
      <c r="AB107" s="17">
        <f>Table1[[#This Row],[Profit/loss]]/Table1[[#This Row],[Total k.m]]</f>
        <v>-4.5900195694716244</v>
      </c>
      <c r="AC107" s="12">
        <f>Table1[[#This Row],[INVOICE AMOUNT2]]/Table1[[#This Row],[Total k.m]]</f>
        <v>37.181996086105677</v>
      </c>
    </row>
    <row r="108" spans="1:29" x14ac:dyDescent="0.3">
      <c r="A108" s="18">
        <v>106</v>
      </c>
      <c r="B108" s="25" t="s">
        <v>268</v>
      </c>
      <c r="C108" s="12" t="s">
        <v>34</v>
      </c>
      <c r="D108" s="10">
        <v>45955</v>
      </c>
      <c r="E108" s="24" t="s">
        <v>263</v>
      </c>
      <c r="F108" s="12" t="s">
        <v>30</v>
      </c>
      <c r="G108" s="12" t="s">
        <v>31</v>
      </c>
      <c r="H108" s="12" t="s">
        <v>32</v>
      </c>
      <c r="I108" s="14">
        <v>6</v>
      </c>
      <c r="J108" s="15">
        <v>38000</v>
      </c>
      <c r="K108" s="21">
        <v>36332</v>
      </c>
      <c r="L108" s="12">
        <v>9155</v>
      </c>
      <c r="M108" s="12">
        <v>5500</v>
      </c>
      <c r="N108" s="12"/>
      <c r="O108" s="12"/>
      <c r="P108" s="12"/>
      <c r="Q108" s="12">
        <v>1000</v>
      </c>
      <c r="R108" s="12"/>
      <c r="S108" s="12"/>
      <c r="T108" s="12"/>
      <c r="U108" s="12">
        <v>1800</v>
      </c>
      <c r="V108" s="16">
        <f t="shared" si="1"/>
        <v>53787</v>
      </c>
      <c r="W108" s="12">
        <v>1309</v>
      </c>
      <c r="X108" s="12">
        <v>40</v>
      </c>
      <c r="Y108" s="16">
        <f>Table1[[#This Row],[LOAD K.M]]+Table1[[#This Row],[EMPTY K.M]]</f>
        <v>1349</v>
      </c>
      <c r="Z108" s="16">
        <f>Table1[[#This Row],[INVOICE AMOUNT2]]-Table1[[#This Row],[Total Exp.]]</f>
        <v>-15787</v>
      </c>
      <c r="AA108" s="12">
        <f>Table1[[#This Row],[Total Exp.]]/Table1[[#This Row],[Total k.m]]</f>
        <v>39.871756856931057</v>
      </c>
      <c r="AB108" s="17">
        <f>Table1[[#This Row],[Profit/loss]]/Table1[[#This Row],[Total k.m]]</f>
        <v>-11.702742772424017</v>
      </c>
      <c r="AC108" s="12">
        <f>Table1[[#This Row],[INVOICE AMOUNT2]]/Table1[[#This Row],[Total k.m]]</f>
        <v>28.169014084507044</v>
      </c>
    </row>
    <row r="109" spans="1:29" x14ac:dyDescent="0.3">
      <c r="A109" s="7">
        <v>107</v>
      </c>
      <c r="B109" s="25" t="s">
        <v>269</v>
      </c>
      <c r="C109" s="12" t="s">
        <v>87</v>
      </c>
      <c r="D109" s="10">
        <v>45955</v>
      </c>
      <c r="E109" s="24" t="s">
        <v>270</v>
      </c>
      <c r="F109" s="12" t="s">
        <v>35</v>
      </c>
      <c r="G109" s="12" t="s">
        <v>36</v>
      </c>
      <c r="H109" s="12" t="s">
        <v>271</v>
      </c>
      <c r="I109" s="14">
        <v>8</v>
      </c>
      <c r="J109" s="15">
        <v>97086</v>
      </c>
      <c r="K109" s="27">
        <v>39119</v>
      </c>
      <c r="L109" s="23">
        <v>14213</v>
      </c>
      <c r="M109" s="23">
        <v>5000</v>
      </c>
      <c r="N109" s="23"/>
      <c r="O109" s="23"/>
      <c r="P109" s="23">
        <v>2000</v>
      </c>
      <c r="Q109" s="23">
        <v>1000</v>
      </c>
      <c r="R109" s="23"/>
      <c r="S109" s="23">
        <v>200</v>
      </c>
      <c r="T109" s="23"/>
      <c r="U109" s="23"/>
      <c r="V109" s="16">
        <f t="shared" si="1"/>
        <v>61532</v>
      </c>
      <c r="W109" s="23">
        <v>998</v>
      </c>
      <c r="X109" s="23">
        <v>458</v>
      </c>
      <c r="Y109" s="16">
        <f>Table1[[#This Row],[LOAD K.M]]+Table1[[#This Row],[EMPTY K.M]]</f>
        <v>1456</v>
      </c>
      <c r="Z109" s="16">
        <f>Table1[[#This Row],[INVOICE AMOUNT2]]-Table1[[#This Row],[Total Exp.]]</f>
        <v>35554</v>
      </c>
      <c r="AA109" s="12">
        <f>Table1[[#This Row],[Total Exp.]]/Table1[[#This Row],[Total k.m]]</f>
        <v>42.260989010989015</v>
      </c>
      <c r="AB109" s="17">
        <f>Table1[[#This Row],[Profit/loss]]/Table1[[#This Row],[Total k.m]]</f>
        <v>24.418956043956044</v>
      </c>
      <c r="AC109" s="12">
        <f>Table1[[#This Row],[INVOICE AMOUNT2]]/Table1[[#This Row],[Total k.m]]</f>
        <v>66.679945054945051</v>
      </c>
    </row>
    <row r="110" spans="1:29" x14ac:dyDescent="0.3">
      <c r="A110" s="18">
        <v>108</v>
      </c>
      <c r="B110" s="25" t="s">
        <v>272</v>
      </c>
      <c r="C110" s="12" t="s">
        <v>39</v>
      </c>
      <c r="D110" s="10">
        <v>45955</v>
      </c>
      <c r="E110" s="24" t="s">
        <v>270</v>
      </c>
      <c r="F110" s="12" t="s">
        <v>65</v>
      </c>
      <c r="G110" s="12" t="s">
        <v>66</v>
      </c>
      <c r="H110" s="12" t="s">
        <v>216</v>
      </c>
      <c r="I110" s="14">
        <v>8</v>
      </c>
      <c r="J110" s="15">
        <v>169874</v>
      </c>
      <c r="K110" s="21">
        <v>69527</v>
      </c>
      <c r="L110" s="12">
        <v>23239</v>
      </c>
      <c r="M110" s="12">
        <v>11000</v>
      </c>
      <c r="N110" s="12"/>
      <c r="O110" s="12"/>
      <c r="P110" s="12">
        <v>2000</v>
      </c>
      <c r="Q110" s="12">
        <v>1000</v>
      </c>
      <c r="R110" s="12"/>
      <c r="S110" s="12">
        <v>300</v>
      </c>
      <c r="T110" s="12"/>
      <c r="U110" s="12">
        <v>1320</v>
      </c>
      <c r="V110" s="16">
        <f t="shared" si="1"/>
        <v>108386</v>
      </c>
      <c r="W110" s="12">
        <v>2305</v>
      </c>
      <c r="X110" s="12">
        <v>240</v>
      </c>
      <c r="Y110" s="16">
        <f>Table1[[#This Row],[LOAD K.M]]+Table1[[#This Row],[EMPTY K.M]]</f>
        <v>2545</v>
      </c>
      <c r="Z110" s="16">
        <f>Table1[[#This Row],[INVOICE AMOUNT2]]-Table1[[#This Row],[Total Exp.]]</f>
        <v>61488</v>
      </c>
      <c r="AA110" s="12">
        <f>Table1[[#This Row],[Total Exp.]]/Table1[[#This Row],[Total k.m]]</f>
        <v>42.587819253438113</v>
      </c>
      <c r="AB110" s="17">
        <f>Table1[[#This Row],[Profit/loss]]/Table1[[#This Row],[Total k.m]]</f>
        <v>24.160314341846757</v>
      </c>
      <c r="AC110" s="12">
        <f>Table1[[#This Row],[INVOICE AMOUNT2]]/Table1[[#This Row],[Total k.m]]</f>
        <v>66.74813359528487</v>
      </c>
    </row>
    <row r="111" spans="1:29" x14ac:dyDescent="0.3">
      <c r="A111" s="7">
        <v>109</v>
      </c>
      <c r="B111" s="25" t="s">
        <v>273</v>
      </c>
      <c r="C111" s="13" t="s">
        <v>134</v>
      </c>
      <c r="D111" s="10">
        <v>45955</v>
      </c>
      <c r="E111" s="11" t="s">
        <v>274</v>
      </c>
      <c r="F111" s="13" t="s">
        <v>35</v>
      </c>
      <c r="G111" s="13" t="s">
        <v>250</v>
      </c>
      <c r="H111" s="13" t="s">
        <v>275</v>
      </c>
      <c r="I111" s="14">
        <v>8</v>
      </c>
      <c r="J111" s="15">
        <v>115488</v>
      </c>
      <c r="K111" s="21">
        <v>50288</v>
      </c>
      <c r="L111" s="21">
        <v>14349.6</v>
      </c>
      <c r="M111" s="23">
        <v>5000</v>
      </c>
      <c r="N111" s="23"/>
      <c r="O111" s="23">
        <v>1400</v>
      </c>
      <c r="P111" s="23">
        <v>2000</v>
      </c>
      <c r="Q111" s="23">
        <v>1000</v>
      </c>
      <c r="R111" s="23"/>
      <c r="S111" s="23">
        <v>400</v>
      </c>
      <c r="T111" s="23">
        <v>112</v>
      </c>
      <c r="U111" s="23"/>
      <c r="V111" s="16">
        <f t="shared" si="1"/>
        <v>74549.600000000006</v>
      </c>
      <c r="W111" s="23">
        <v>1641</v>
      </c>
      <c r="X111" s="23">
        <v>197</v>
      </c>
      <c r="Y111" s="16">
        <f>Table1[[#This Row],[LOAD K.M]]+Table1[[#This Row],[EMPTY K.M]]</f>
        <v>1838</v>
      </c>
      <c r="Z111" s="16">
        <f>Table1[[#This Row],[INVOICE AMOUNT2]]-Table1[[#This Row],[Total Exp.]]</f>
        <v>40938.399999999994</v>
      </c>
      <c r="AA111" s="12">
        <f>Table1[[#This Row],[Total Exp.]]/Table1[[#This Row],[Total k.m]]</f>
        <v>40.560174102285096</v>
      </c>
      <c r="AB111" s="17">
        <f>Table1[[#This Row],[Profit/loss]]/Table1[[#This Row],[Total k.m]]</f>
        <v>22.273340587595207</v>
      </c>
      <c r="AC111" s="12">
        <f>Table1[[#This Row],[INVOICE AMOUNT2]]/Table1[[#This Row],[Total k.m]]</f>
        <v>62.833514689880303</v>
      </c>
    </row>
    <row r="112" spans="1:29" x14ac:dyDescent="0.3">
      <c r="A112" s="18">
        <v>110</v>
      </c>
      <c r="B112" s="25" t="s">
        <v>276</v>
      </c>
      <c r="C112" s="13" t="s">
        <v>46</v>
      </c>
      <c r="D112" s="10">
        <v>45955</v>
      </c>
      <c r="E112" s="11" t="s">
        <v>274</v>
      </c>
      <c r="F112" s="13" t="s">
        <v>35</v>
      </c>
      <c r="G112" s="13" t="s">
        <v>250</v>
      </c>
      <c r="H112" s="13" t="s">
        <v>66</v>
      </c>
      <c r="I112" s="14">
        <v>8</v>
      </c>
      <c r="J112" s="15">
        <v>138226</v>
      </c>
      <c r="K112" s="21">
        <v>57394</v>
      </c>
      <c r="L112" s="12">
        <v>17209</v>
      </c>
      <c r="M112" s="12">
        <v>7000</v>
      </c>
      <c r="N112" s="12"/>
      <c r="O112" s="12"/>
      <c r="P112" s="12">
        <v>2000</v>
      </c>
      <c r="Q112" s="12">
        <v>1500</v>
      </c>
      <c r="R112" s="12"/>
      <c r="S112" s="12">
        <v>400</v>
      </c>
      <c r="T112" s="12">
        <v>125</v>
      </c>
      <c r="U112" s="12"/>
      <c r="V112" s="16">
        <f t="shared" si="1"/>
        <v>85628</v>
      </c>
      <c r="W112" s="12">
        <v>2065</v>
      </c>
      <c r="X112" s="12">
        <v>15</v>
      </c>
      <c r="Y112" s="16">
        <f>Table1[[#This Row],[LOAD K.M]]+Table1[[#This Row],[EMPTY K.M]]</f>
        <v>2080</v>
      </c>
      <c r="Z112" s="16">
        <f>Table1[[#This Row],[INVOICE AMOUNT2]]-Table1[[#This Row],[Total Exp.]]</f>
        <v>52598</v>
      </c>
      <c r="AA112" s="12">
        <f>Table1[[#This Row],[Total Exp.]]/Table1[[#This Row],[Total k.m]]</f>
        <v>41.167307692307695</v>
      </c>
      <c r="AB112" s="17">
        <f>Table1[[#This Row],[Profit/loss]]/Table1[[#This Row],[Total k.m]]</f>
        <v>25.287500000000001</v>
      </c>
      <c r="AC112" s="12">
        <f>Table1[[#This Row],[INVOICE AMOUNT2]]/Table1[[#This Row],[Total k.m]]</f>
        <v>66.454807692307696</v>
      </c>
    </row>
    <row r="113" spans="1:29" x14ac:dyDescent="0.3">
      <c r="A113" s="7">
        <v>111</v>
      </c>
      <c r="B113" s="25" t="s">
        <v>277</v>
      </c>
      <c r="C113" s="13" t="s">
        <v>109</v>
      </c>
      <c r="D113" s="10">
        <v>45955</v>
      </c>
      <c r="E113" s="11" t="s">
        <v>270</v>
      </c>
      <c r="F113" s="13" t="s">
        <v>35</v>
      </c>
      <c r="G113" s="13" t="s">
        <v>250</v>
      </c>
      <c r="H113" s="13" t="s">
        <v>278</v>
      </c>
      <c r="I113" s="14">
        <v>8</v>
      </c>
      <c r="J113" s="15">
        <v>108142</v>
      </c>
      <c r="K113" s="21">
        <v>42414</v>
      </c>
      <c r="L113" s="23">
        <v>15092</v>
      </c>
      <c r="M113" s="23">
        <v>3500</v>
      </c>
      <c r="N113" s="23"/>
      <c r="O113" s="23"/>
      <c r="P113" s="23">
        <v>2000</v>
      </c>
      <c r="Q113" s="23">
        <v>1000</v>
      </c>
      <c r="R113" s="23"/>
      <c r="S113" s="23">
        <v>400</v>
      </c>
      <c r="T113" s="23"/>
      <c r="U113" s="23">
        <v>2320</v>
      </c>
      <c r="V113" s="16">
        <f t="shared" si="1"/>
        <v>66726</v>
      </c>
      <c r="W113" s="23">
        <v>1141</v>
      </c>
      <c r="X113" s="23">
        <v>469</v>
      </c>
      <c r="Y113" s="16">
        <f>Table1[[#This Row],[LOAD K.M]]+Table1[[#This Row],[EMPTY K.M]]</f>
        <v>1610</v>
      </c>
      <c r="Z113" s="16">
        <f>Table1[[#This Row],[INVOICE AMOUNT2]]-Table1[[#This Row],[Total Exp.]]</f>
        <v>41416</v>
      </c>
      <c r="AA113" s="12">
        <f>Table1[[#This Row],[Total Exp.]]/Table1[[#This Row],[Total k.m]]</f>
        <v>41.444720496894412</v>
      </c>
      <c r="AB113" s="17">
        <f>Table1[[#This Row],[Profit/loss]]/Table1[[#This Row],[Total k.m]]</f>
        <v>25.724223602484471</v>
      </c>
      <c r="AC113" s="12">
        <f>Table1[[#This Row],[INVOICE AMOUNT2]]/Table1[[#This Row],[Total k.m]]</f>
        <v>67.168944099378876</v>
      </c>
    </row>
    <row r="114" spans="1:29" x14ac:dyDescent="0.3">
      <c r="A114" s="45">
        <v>112</v>
      </c>
      <c r="B114" s="25" t="s">
        <v>279</v>
      </c>
      <c r="C114" s="13" t="s">
        <v>72</v>
      </c>
      <c r="D114" s="10">
        <v>45955</v>
      </c>
      <c r="E114" s="11" t="s">
        <v>280</v>
      </c>
      <c r="F114" s="13" t="s">
        <v>35</v>
      </c>
      <c r="G114" s="13" t="s">
        <v>250</v>
      </c>
      <c r="H114" s="13" t="s">
        <v>281</v>
      </c>
      <c r="I114" s="14">
        <v>8</v>
      </c>
      <c r="J114" s="15">
        <v>152896</v>
      </c>
      <c r="K114" s="12">
        <v>81540</v>
      </c>
      <c r="L114" s="12">
        <v>24812</v>
      </c>
      <c r="M114" s="12">
        <v>7600</v>
      </c>
      <c r="N114" s="12"/>
      <c r="O114" s="12"/>
      <c r="P114" s="12">
        <v>2000</v>
      </c>
      <c r="Q114" s="12">
        <v>1000</v>
      </c>
      <c r="R114" s="12"/>
      <c r="S114" s="12">
        <v>400</v>
      </c>
      <c r="T114" s="12">
        <v>5600</v>
      </c>
      <c r="U114" s="12">
        <v>2640</v>
      </c>
      <c r="V114" s="16">
        <f t="shared" si="1"/>
        <v>125592</v>
      </c>
      <c r="W114" s="12">
        <v>2268</v>
      </c>
      <c r="X114" s="12">
        <v>744</v>
      </c>
      <c r="Y114" s="16">
        <f>Table1[[#This Row],[LOAD K.M]]+Table1[[#This Row],[EMPTY K.M]]</f>
        <v>3012</v>
      </c>
      <c r="Z114" s="16">
        <f>Table1[[#This Row],[INVOICE AMOUNT2]]-Table1[[#This Row],[Total Exp.]]</f>
        <v>27304</v>
      </c>
      <c r="AA114" s="12">
        <f>Table1[[#This Row],[Total Exp.]]/Table1[[#This Row],[Total k.m]]</f>
        <v>41.697211155378483</v>
      </c>
      <c r="AB114" s="17">
        <f>Table1[[#This Row],[Profit/loss]]/Table1[[#This Row],[Total k.m]]</f>
        <v>9.0650730411686595</v>
      </c>
      <c r="AC114" s="12">
        <f>Table1[[#This Row],[INVOICE AMOUNT2]]/Table1[[#This Row],[Total k.m]]</f>
        <v>50.762284196547142</v>
      </c>
    </row>
    <row r="115" spans="1:29" x14ac:dyDescent="0.3">
      <c r="A115" s="46">
        <v>113</v>
      </c>
      <c r="B115" s="25" t="s">
        <v>282</v>
      </c>
      <c r="C115" s="13" t="s">
        <v>59</v>
      </c>
      <c r="D115" s="10">
        <v>45955</v>
      </c>
      <c r="E115" s="11" t="s">
        <v>280</v>
      </c>
      <c r="F115" s="13" t="s">
        <v>35</v>
      </c>
      <c r="G115" s="13" t="s">
        <v>250</v>
      </c>
      <c r="H115" s="13" t="s">
        <v>281</v>
      </c>
      <c r="I115" s="14">
        <v>8</v>
      </c>
      <c r="J115" s="15">
        <v>152896</v>
      </c>
      <c r="K115" s="21">
        <v>82028</v>
      </c>
      <c r="L115" s="12">
        <v>25009</v>
      </c>
      <c r="M115" s="12">
        <v>7600</v>
      </c>
      <c r="N115" s="12"/>
      <c r="O115" s="12">
        <v>4826</v>
      </c>
      <c r="P115" s="12">
        <v>2000</v>
      </c>
      <c r="Q115" s="12">
        <v>1000</v>
      </c>
      <c r="R115" s="12"/>
      <c r="S115" s="12"/>
      <c r="T115" s="12">
        <v>5600</v>
      </c>
      <c r="U115" s="12">
        <v>2640</v>
      </c>
      <c r="V115" s="16">
        <f t="shared" si="1"/>
        <v>130703</v>
      </c>
      <c r="W115" s="12">
        <v>2269</v>
      </c>
      <c r="X115" s="12">
        <v>748</v>
      </c>
      <c r="Y115" s="16">
        <f>Table1[[#This Row],[LOAD K.M]]+Table1[[#This Row],[EMPTY K.M]]</f>
        <v>3017</v>
      </c>
      <c r="Z115" s="16">
        <f>Table1[[#This Row],[INVOICE AMOUNT2]]-Table1[[#This Row],[Total Exp.]]</f>
        <v>22193</v>
      </c>
      <c r="AA115" s="12">
        <f>Table1[[#This Row],[Total Exp.]]/Table1[[#This Row],[Total k.m]]</f>
        <v>43.322174345376204</v>
      </c>
      <c r="AB115" s="17">
        <f>Table1[[#This Row],[Profit/loss]]/Table1[[#This Row],[Total k.m]]</f>
        <v>7.3559827643354323</v>
      </c>
      <c r="AC115" s="12">
        <f>Table1[[#This Row],[INVOICE AMOUNT2]]/Table1[[#This Row],[Total k.m]]</f>
        <v>50.678157109711634</v>
      </c>
    </row>
    <row r="116" spans="1:29" x14ac:dyDescent="0.3">
      <c r="A116" s="45">
        <v>114</v>
      </c>
      <c r="B116" s="25" t="s">
        <v>283</v>
      </c>
      <c r="C116" s="13" t="s">
        <v>102</v>
      </c>
      <c r="D116" s="10">
        <v>45955</v>
      </c>
      <c r="E116" s="11" t="s">
        <v>280</v>
      </c>
      <c r="F116" s="13" t="s">
        <v>35</v>
      </c>
      <c r="G116" s="13" t="s">
        <v>250</v>
      </c>
      <c r="H116" s="13" t="s">
        <v>125</v>
      </c>
      <c r="I116" s="14">
        <v>8</v>
      </c>
      <c r="J116" s="15">
        <v>166366</v>
      </c>
      <c r="K116" s="21">
        <v>78414</v>
      </c>
      <c r="L116" s="12">
        <v>25859</v>
      </c>
      <c r="M116" s="12">
        <v>7600</v>
      </c>
      <c r="N116" s="12"/>
      <c r="O116" s="12"/>
      <c r="P116" s="12">
        <v>2000</v>
      </c>
      <c r="Q116" s="12">
        <v>1000</v>
      </c>
      <c r="R116" s="12"/>
      <c r="S116" s="12">
        <v>400</v>
      </c>
      <c r="T116" s="12">
        <v>4000</v>
      </c>
      <c r="U116" s="12">
        <v>2640</v>
      </c>
      <c r="V116" s="16">
        <f t="shared" si="1"/>
        <v>121913</v>
      </c>
      <c r="W116" s="12">
        <v>2215</v>
      </c>
      <c r="X116" s="12">
        <v>661</v>
      </c>
      <c r="Y116" s="16">
        <f>Table1[[#This Row],[LOAD K.M]]+Table1[[#This Row],[EMPTY K.M]]</f>
        <v>2876</v>
      </c>
      <c r="Z116" s="16">
        <f>Table1[[#This Row],[INVOICE AMOUNT2]]-Table1[[#This Row],[Total Exp.]]</f>
        <v>44453</v>
      </c>
      <c r="AA116" s="12">
        <f>Table1[[#This Row],[Total Exp.]]/Table1[[#This Row],[Total k.m]]</f>
        <v>42.389777468706534</v>
      </c>
      <c r="AB116" s="17">
        <f>Table1[[#This Row],[Profit/loss]]/Table1[[#This Row],[Total k.m]]</f>
        <v>15.45653685674548</v>
      </c>
      <c r="AC116" s="12">
        <f>Table1[[#This Row],[INVOICE AMOUNT2]]/Table1[[#This Row],[Total k.m]]</f>
        <v>57.846314325452013</v>
      </c>
    </row>
    <row r="117" spans="1:29" x14ac:dyDescent="0.3">
      <c r="A117" s="46">
        <v>115</v>
      </c>
      <c r="B117" s="39" t="s">
        <v>284</v>
      </c>
      <c r="C117" s="40" t="s">
        <v>98</v>
      </c>
      <c r="D117" s="10">
        <v>45955</v>
      </c>
      <c r="E117" s="41" t="s">
        <v>280</v>
      </c>
      <c r="F117" s="40" t="s">
        <v>35</v>
      </c>
      <c r="G117" s="40" t="s">
        <v>36</v>
      </c>
      <c r="H117" s="40" t="s">
        <v>285</v>
      </c>
      <c r="I117" s="14" t="s">
        <v>230</v>
      </c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6">
        <f t="shared" si="1"/>
        <v>0</v>
      </c>
      <c r="W117" s="12"/>
      <c r="X117" s="12"/>
      <c r="Y117" s="16">
        <f>Table1[[#This Row],[LOAD K.M]]+Table1[[#This Row],[EMPTY K.M]]</f>
        <v>0</v>
      </c>
      <c r="Z117" s="16">
        <f>Table1[[#This Row],[INVOICE AMOUNT2]]-Table1[[#This Row],[Total Exp.]]</f>
        <v>0</v>
      </c>
      <c r="AA117" s="12" t="e">
        <f>Table1[[#This Row],[Total Exp.]]/Table1[[#This Row],[Total k.m]]</f>
        <v>#DIV/0!</v>
      </c>
      <c r="AB117" s="17" t="e">
        <f>Table1[[#This Row],[Profit/loss]]/Table1[[#This Row],[Total k.m]]</f>
        <v>#DIV/0!</v>
      </c>
      <c r="AC117" s="12" t="e">
        <f>Table1[[#This Row],[INVOICE AMOUNT2]]/Table1[[#This Row],[Total k.m]]</f>
        <v>#DIV/0!</v>
      </c>
    </row>
    <row r="118" spans="1:29" x14ac:dyDescent="0.3">
      <c r="A118" s="45">
        <v>116</v>
      </c>
      <c r="B118" s="25" t="s">
        <v>286</v>
      </c>
      <c r="C118" s="13" t="s">
        <v>84</v>
      </c>
      <c r="D118" s="10">
        <v>45955</v>
      </c>
      <c r="E118" s="11" t="s">
        <v>280</v>
      </c>
      <c r="F118" s="13" t="s">
        <v>65</v>
      </c>
      <c r="G118" s="13" t="s">
        <v>66</v>
      </c>
      <c r="H118" s="13" t="s">
        <v>287</v>
      </c>
      <c r="I118" s="14">
        <v>8</v>
      </c>
      <c r="J118" s="15">
        <v>153685</v>
      </c>
      <c r="K118" s="21">
        <v>79071</v>
      </c>
      <c r="L118" s="12">
        <v>23784</v>
      </c>
      <c r="M118" s="12">
        <v>13500</v>
      </c>
      <c r="N118" s="12"/>
      <c r="O118" s="12"/>
      <c r="P118" s="12">
        <v>2000</v>
      </c>
      <c r="Q118" s="12">
        <v>1000</v>
      </c>
      <c r="R118" s="12"/>
      <c r="S118" s="12">
        <v>150</v>
      </c>
      <c r="T118" s="12">
        <v>1500</v>
      </c>
      <c r="U118" s="12">
        <v>730</v>
      </c>
      <c r="V118" s="16">
        <f t="shared" si="1"/>
        <v>121735</v>
      </c>
      <c r="W118" s="12">
        <v>1840</v>
      </c>
      <c r="X118" s="12">
        <v>1110</v>
      </c>
      <c r="Y118" s="16">
        <f>Table1[[#This Row],[LOAD K.M]]+Table1[[#This Row],[EMPTY K.M]]</f>
        <v>2950</v>
      </c>
      <c r="Z118" s="16">
        <f>Table1[[#This Row],[INVOICE AMOUNT2]]-Table1[[#This Row],[Total Exp.]]</f>
        <v>31950</v>
      </c>
      <c r="AA118" s="12">
        <f>Table1[[#This Row],[Total Exp.]]/Table1[[#This Row],[Total k.m]]</f>
        <v>41.266101694915257</v>
      </c>
      <c r="AB118" s="17">
        <f>Table1[[#This Row],[Profit/loss]]/Table1[[#This Row],[Total k.m]]</f>
        <v>10.830508474576272</v>
      </c>
      <c r="AC118" s="12">
        <f>Table1[[#This Row],[INVOICE AMOUNT2]]/Table1[[#This Row],[Total k.m]]</f>
        <v>52.096610169491527</v>
      </c>
    </row>
    <row r="119" spans="1:29" x14ac:dyDescent="0.3">
      <c r="A119" s="46">
        <v>117</v>
      </c>
      <c r="B119" s="25" t="s">
        <v>288</v>
      </c>
      <c r="C119" s="13" t="s">
        <v>105</v>
      </c>
      <c r="D119" s="10">
        <v>45955</v>
      </c>
      <c r="E119" s="11" t="s">
        <v>248</v>
      </c>
      <c r="F119" s="13" t="s">
        <v>35</v>
      </c>
      <c r="G119" s="13" t="s">
        <v>99</v>
      </c>
      <c r="H119" s="13" t="s">
        <v>66</v>
      </c>
      <c r="I119" s="14">
        <v>7</v>
      </c>
      <c r="J119" s="15">
        <v>164499</v>
      </c>
      <c r="K119" s="21">
        <v>62385</v>
      </c>
      <c r="L119" s="21">
        <v>25099.599999999999</v>
      </c>
      <c r="M119" s="12">
        <v>10000</v>
      </c>
      <c r="N119" s="12"/>
      <c r="O119" s="12">
        <v>1396</v>
      </c>
      <c r="P119" s="12">
        <v>2000</v>
      </c>
      <c r="Q119" s="12">
        <v>1000</v>
      </c>
      <c r="R119" s="12"/>
      <c r="S119" s="12"/>
      <c r="T119" s="12"/>
      <c r="U119" s="12">
        <v>2640</v>
      </c>
      <c r="V119" s="16">
        <f t="shared" si="1"/>
        <v>104520.6</v>
      </c>
      <c r="W119" s="12">
        <v>2269</v>
      </c>
      <c r="X119" s="12"/>
      <c r="Y119" s="16">
        <f>Table1[[#This Row],[LOAD K.M]]+Table1[[#This Row],[EMPTY K.M]]</f>
        <v>2269</v>
      </c>
      <c r="Z119" s="16">
        <f>Table1[[#This Row],[INVOICE AMOUNT2]]-Table1[[#This Row],[Total Exp.]]</f>
        <v>59978.399999999994</v>
      </c>
      <c r="AA119" s="12">
        <f>Table1[[#This Row],[Total Exp.]]/Table1[[#This Row],[Total k.m]]</f>
        <v>46.064609960334948</v>
      </c>
      <c r="AB119" s="17">
        <f>Table1[[#This Row],[Profit/loss]]/Table1[[#This Row],[Total k.m]]</f>
        <v>26.433847509916259</v>
      </c>
      <c r="AC119" s="12">
        <f>Table1[[#This Row],[INVOICE AMOUNT2]]/Table1[[#This Row],[Total k.m]]</f>
        <v>72.498457470251211</v>
      </c>
    </row>
    <row r="120" spans="1:29" x14ac:dyDescent="0.3">
      <c r="A120" s="45">
        <v>118</v>
      </c>
      <c r="B120" s="25" t="s">
        <v>289</v>
      </c>
      <c r="C120" s="13" t="s">
        <v>82</v>
      </c>
      <c r="D120" s="10">
        <v>45955</v>
      </c>
      <c r="E120" s="11" t="s">
        <v>290</v>
      </c>
      <c r="F120" s="13" t="s">
        <v>30</v>
      </c>
      <c r="G120" s="13" t="s">
        <v>31</v>
      </c>
      <c r="H120" s="13" t="s">
        <v>32</v>
      </c>
      <c r="I120" s="14">
        <v>6</v>
      </c>
      <c r="J120" s="15">
        <v>38000</v>
      </c>
      <c r="K120" s="21">
        <v>25984</v>
      </c>
      <c r="L120" s="12">
        <v>8422</v>
      </c>
      <c r="M120" s="12">
        <v>500</v>
      </c>
      <c r="N120" s="12"/>
      <c r="O120" s="12"/>
      <c r="P120" s="12"/>
      <c r="Q120" s="12">
        <v>1000</v>
      </c>
      <c r="R120" s="12"/>
      <c r="S120" s="12">
        <v>200</v>
      </c>
      <c r="T120" s="12"/>
      <c r="U120" s="12">
        <v>1320</v>
      </c>
      <c r="V120" s="16">
        <f t="shared" si="1"/>
        <v>37426</v>
      </c>
      <c r="W120" s="12">
        <v>955</v>
      </c>
      <c r="X120" s="12">
        <v>31</v>
      </c>
      <c r="Y120" s="16">
        <f>Table1[[#This Row],[LOAD K.M]]+Table1[[#This Row],[EMPTY K.M]]</f>
        <v>986</v>
      </c>
      <c r="Z120" s="16">
        <f>Table1[[#This Row],[INVOICE AMOUNT2]]-Table1[[#This Row],[Total Exp.]]</f>
        <v>574</v>
      </c>
      <c r="AA120" s="12">
        <f>Table1[[#This Row],[Total Exp.]]/Table1[[#This Row],[Total k.m]]</f>
        <v>37.957403651115619</v>
      </c>
      <c r="AB120" s="17">
        <f>Table1[[#This Row],[Profit/loss]]/Table1[[#This Row],[Total k.m]]</f>
        <v>0.58215010141987833</v>
      </c>
      <c r="AC120" s="12">
        <f>Table1[[#This Row],[INVOICE AMOUNT2]]/Table1[[#This Row],[Total k.m]]</f>
        <v>38.539553752535497</v>
      </c>
    </row>
    <row r="121" spans="1:29" x14ac:dyDescent="0.3">
      <c r="A121" s="46">
        <v>119</v>
      </c>
      <c r="B121" s="25" t="s">
        <v>291</v>
      </c>
      <c r="C121" s="13" t="s">
        <v>77</v>
      </c>
      <c r="D121" s="10">
        <v>45955</v>
      </c>
      <c r="E121" s="11" t="s">
        <v>290</v>
      </c>
      <c r="F121" s="13" t="s">
        <v>35</v>
      </c>
      <c r="G121" s="13" t="s">
        <v>250</v>
      </c>
      <c r="H121" s="13" t="s">
        <v>196</v>
      </c>
      <c r="I121" s="14">
        <v>8</v>
      </c>
      <c r="J121" s="15">
        <v>59664</v>
      </c>
      <c r="K121" s="21">
        <v>15473</v>
      </c>
      <c r="L121" s="12">
        <v>4493</v>
      </c>
      <c r="M121" s="12">
        <v>1500</v>
      </c>
      <c r="N121" s="12"/>
      <c r="O121" s="12"/>
      <c r="P121" s="12">
        <v>2000</v>
      </c>
      <c r="Q121" s="12">
        <v>1000</v>
      </c>
      <c r="R121" s="12"/>
      <c r="S121" s="12">
        <v>400</v>
      </c>
      <c r="T121" s="12"/>
      <c r="U121" s="12"/>
      <c r="V121" s="16">
        <f t="shared" si="1"/>
        <v>24866</v>
      </c>
      <c r="W121" s="12">
        <v>550</v>
      </c>
      <c r="X121" s="12">
        <v>21</v>
      </c>
      <c r="Y121" s="16">
        <f>Table1[[#This Row],[LOAD K.M]]+Table1[[#This Row],[EMPTY K.M]]</f>
        <v>571</v>
      </c>
      <c r="Z121" s="16">
        <f>Table1[[#This Row],[INVOICE AMOUNT2]]-Table1[[#This Row],[Total Exp.]]</f>
        <v>34798</v>
      </c>
      <c r="AA121" s="12">
        <f>Table1[[#This Row],[Total Exp.]]/Table1[[#This Row],[Total k.m]]</f>
        <v>43.548161120840632</v>
      </c>
      <c r="AB121" s="17">
        <f>Table1[[#This Row],[Profit/loss]]/Table1[[#This Row],[Total k.m]]</f>
        <v>60.942206654991246</v>
      </c>
      <c r="AC121" s="12">
        <f>Table1[[#This Row],[INVOICE AMOUNT2]]/Table1[[#This Row],[Total k.m]]</f>
        <v>104.49036777583187</v>
      </c>
    </row>
    <row r="122" spans="1:29" x14ac:dyDescent="0.3">
      <c r="A122" s="45">
        <v>120</v>
      </c>
      <c r="B122" s="25" t="s">
        <v>292</v>
      </c>
      <c r="C122" s="13" t="s">
        <v>29</v>
      </c>
      <c r="D122" s="10">
        <v>45955</v>
      </c>
      <c r="E122" s="11" t="s">
        <v>290</v>
      </c>
      <c r="F122" s="13" t="s">
        <v>35</v>
      </c>
      <c r="G122" s="13" t="s">
        <v>250</v>
      </c>
      <c r="H122" s="13" t="s">
        <v>293</v>
      </c>
      <c r="I122" s="14">
        <v>8</v>
      </c>
      <c r="J122" s="15">
        <v>89608</v>
      </c>
      <c r="K122" s="21">
        <v>34011</v>
      </c>
      <c r="L122" s="12">
        <v>10773</v>
      </c>
      <c r="M122" s="12">
        <v>1500</v>
      </c>
      <c r="N122" s="12"/>
      <c r="O122" s="12"/>
      <c r="P122" s="12">
        <v>2000</v>
      </c>
      <c r="Q122" s="12">
        <v>1000</v>
      </c>
      <c r="R122" s="12"/>
      <c r="S122" s="12">
        <v>400</v>
      </c>
      <c r="T122" s="12"/>
      <c r="U122" s="12"/>
      <c r="V122" s="16">
        <f t="shared" si="1"/>
        <v>49684</v>
      </c>
      <c r="W122" s="12">
        <v>842</v>
      </c>
      <c r="X122" s="12">
        <v>432</v>
      </c>
      <c r="Y122" s="16">
        <f>Table1[[#This Row],[LOAD K.M]]+Table1[[#This Row],[EMPTY K.M]]</f>
        <v>1274</v>
      </c>
      <c r="Z122" s="16">
        <f>Table1[[#This Row],[INVOICE AMOUNT2]]-Table1[[#This Row],[Total Exp.]]</f>
        <v>39924</v>
      </c>
      <c r="AA122" s="12">
        <f>Table1[[#This Row],[Total Exp.]]/Table1[[#This Row],[Total k.m]]</f>
        <v>38.998430141287287</v>
      </c>
      <c r="AB122" s="17">
        <f>Table1[[#This Row],[Profit/loss]]/Table1[[#This Row],[Total k.m]]</f>
        <v>31.337519623233909</v>
      </c>
      <c r="AC122" s="12">
        <f>Table1[[#This Row],[INVOICE AMOUNT2]]/Table1[[#This Row],[Total k.m]]</f>
        <v>70.335949764521189</v>
      </c>
    </row>
    <row r="123" spans="1:29" x14ac:dyDescent="0.3">
      <c r="A123" s="46">
        <v>121</v>
      </c>
      <c r="B123" s="25" t="s">
        <v>294</v>
      </c>
      <c r="C123" s="13" t="s">
        <v>75</v>
      </c>
      <c r="D123" s="10">
        <v>45955</v>
      </c>
      <c r="E123" s="11" t="s">
        <v>290</v>
      </c>
      <c r="F123" s="13" t="s">
        <v>35</v>
      </c>
      <c r="G123" s="13" t="s">
        <v>250</v>
      </c>
      <c r="H123" s="13" t="s">
        <v>295</v>
      </c>
      <c r="I123" s="14">
        <v>8</v>
      </c>
      <c r="J123" s="15">
        <v>149688</v>
      </c>
      <c r="K123" s="21">
        <v>55568</v>
      </c>
      <c r="L123" s="12">
        <v>15624</v>
      </c>
      <c r="M123" s="12">
        <v>6000</v>
      </c>
      <c r="N123" s="12"/>
      <c r="O123" s="12"/>
      <c r="P123" s="12">
        <v>2000</v>
      </c>
      <c r="Q123" s="12">
        <v>1000</v>
      </c>
      <c r="R123" s="12"/>
      <c r="S123" s="12">
        <v>600</v>
      </c>
      <c r="T123" s="12"/>
      <c r="U123" s="12">
        <v>2640</v>
      </c>
      <c r="V123" s="16">
        <f t="shared" si="1"/>
        <v>83432</v>
      </c>
      <c r="W123" s="12">
        <v>1904</v>
      </c>
      <c r="X123" s="12">
        <v>133</v>
      </c>
      <c r="Y123" s="16">
        <f>Table1[[#This Row],[LOAD K.M]]+Table1[[#This Row],[EMPTY K.M]]</f>
        <v>2037</v>
      </c>
      <c r="Z123" s="16">
        <f>Table1[[#This Row],[INVOICE AMOUNT2]]-Table1[[#This Row],[Total Exp.]]</f>
        <v>66256</v>
      </c>
      <c r="AA123" s="12">
        <f>Table1[[#This Row],[Total Exp.]]/Table1[[#This Row],[Total k.m]]</f>
        <v>40.958271968581244</v>
      </c>
      <c r="AB123" s="17">
        <f>Table1[[#This Row],[Profit/loss]]/Table1[[#This Row],[Total k.m]]</f>
        <v>32.526264113892978</v>
      </c>
      <c r="AC123" s="12">
        <f>Table1[[#This Row],[INVOICE AMOUNT2]]/Table1[[#This Row],[Total k.m]]</f>
        <v>73.484536082474222</v>
      </c>
    </row>
    <row r="124" spans="1:29" x14ac:dyDescent="0.3">
      <c r="A124" s="45">
        <v>122</v>
      </c>
      <c r="B124" s="25" t="s">
        <v>296</v>
      </c>
      <c r="C124" s="12" t="s">
        <v>34</v>
      </c>
      <c r="D124" s="10">
        <v>45955</v>
      </c>
      <c r="E124" s="24" t="s">
        <v>290</v>
      </c>
      <c r="F124" s="12" t="s">
        <v>35</v>
      </c>
      <c r="G124" s="12" t="s">
        <v>250</v>
      </c>
      <c r="H124" s="12" t="s">
        <v>297</v>
      </c>
      <c r="I124" s="14">
        <v>8</v>
      </c>
      <c r="J124" s="15">
        <v>123720</v>
      </c>
      <c r="K124" s="21">
        <v>58056</v>
      </c>
      <c r="L124" s="12">
        <v>18937</v>
      </c>
      <c r="M124" s="12">
        <v>4500</v>
      </c>
      <c r="N124" s="12"/>
      <c r="O124" s="12"/>
      <c r="P124" s="12">
        <v>2000</v>
      </c>
      <c r="Q124" s="12">
        <v>1000</v>
      </c>
      <c r="R124" s="12"/>
      <c r="S124" s="12">
        <v>200</v>
      </c>
      <c r="T124" s="12"/>
      <c r="U124" s="12">
        <v>2000</v>
      </c>
      <c r="V124" s="16">
        <f t="shared" si="1"/>
        <v>86693</v>
      </c>
      <c r="W124" s="12">
        <v>995</v>
      </c>
      <c r="X124" s="12">
        <v>1205</v>
      </c>
      <c r="Y124" s="16">
        <f>Table1[[#This Row],[LOAD K.M]]+Table1[[#This Row],[EMPTY K.M]]</f>
        <v>2200</v>
      </c>
      <c r="Z124" s="16">
        <f>Table1[[#This Row],[INVOICE AMOUNT2]]-Table1[[#This Row],[Total Exp.]]</f>
        <v>37027</v>
      </c>
      <c r="AA124" s="12">
        <f>Table1[[#This Row],[Total Exp.]]/Table1[[#This Row],[Total k.m]]</f>
        <v>39.405909090909091</v>
      </c>
      <c r="AB124" s="17">
        <f>Table1[[#This Row],[Profit/loss]]/Table1[[#This Row],[Total k.m]]</f>
        <v>16.830454545454547</v>
      </c>
      <c r="AC124" s="12">
        <f>Table1[[#This Row],[INVOICE AMOUNT2]]/Table1[[#This Row],[Total k.m]]</f>
        <v>56.236363636363635</v>
      </c>
    </row>
    <row r="125" spans="1:29" x14ac:dyDescent="0.3">
      <c r="A125" s="46">
        <v>123</v>
      </c>
      <c r="B125" s="25" t="s">
        <v>298</v>
      </c>
      <c r="C125" s="13" t="s">
        <v>69</v>
      </c>
      <c r="D125" s="10">
        <v>45955</v>
      </c>
      <c r="E125" s="11" t="s">
        <v>299</v>
      </c>
      <c r="F125" s="13" t="s">
        <v>65</v>
      </c>
      <c r="G125" s="13" t="s">
        <v>66</v>
      </c>
      <c r="H125" s="13" t="s">
        <v>300</v>
      </c>
      <c r="I125" s="14">
        <v>7</v>
      </c>
      <c r="J125" s="15">
        <v>183608</v>
      </c>
      <c r="K125" s="27">
        <v>91607</v>
      </c>
      <c r="L125" s="12">
        <v>31312</v>
      </c>
      <c r="M125" s="12">
        <v>13500</v>
      </c>
      <c r="N125" s="12"/>
      <c r="O125" s="12"/>
      <c r="P125" s="12">
        <v>2000</v>
      </c>
      <c r="Q125" s="12">
        <v>1000</v>
      </c>
      <c r="R125" s="12"/>
      <c r="S125" s="12">
        <v>218</v>
      </c>
      <c r="T125" s="12"/>
      <c r="U125" s="12"/>
      <c r="V125" s="16">
        <f t="shared" si="1"/>
        <v>139637</v>
      </c>
      <c r="W125" s="12">
        <v>2510</v>
      </c>
      <c r="X125" s="12">
        <v>875</v>
      </c>
      <c r="Y125" s="16">
        <f>Table1[[#This Row],[LOAD K.M]]+Table1[[#This Row],[EMPTY K.M]]</f>
        <v>3385</v>
      </c>
      <c r="Z125" s="16">
        <f>Table1[[#This Row],[INVOICE AMOUNT2]]-Table1[[#This Row],[Total Exp.]]</f>
        <v>43971</v>
      </c>
      <c r="AA125" s="12">
        <f>Table1[[#This Row],[Total Exp.]]/Table1[[#This Row],[Total k.m]]</f>
        <v>41.251698670605613</v>
      </c>
      <c r="AB125" s="17">
        <f>Table1[[#This Row],[Profit/loss]]/Table1[[#This Row],[Total k.m]]</f>
        <v>12.989955686853767</v>
      </c>
      <c r="AC125" s="12">
        <f>Table1[[#This Row],[INVOICE AMOUNT2]]/Table1[[#This Row],[Total k.m]]</f>
        <v>54.241654357459382</v>
      </c>
    </row>
    <row r="126" spans="1:29" x14ac:dyDescent="0.3">
      <c r="A126" s="45">
        <v>124</v>
      </c>
      <c r="B126" s="25" t="s">
        <v>301</v>
      </c>
      <c r="C126" s="12" t="s">
        <v>87</v>
      </c>
      <c r="D126" s="10">
        <v>45955</v>
      </c>
      <c r="E126" s="24" t="s">
        <v>299</v>
      </c>
      <c r="F126" s="12" t="s">
        <v>65</v>
      </c>
      <c r="G126" s="12" t="s">
        <v>66</v>
      </c>
      <c r="H126" s="12" t="s">
        <v>300</v>
      </c>
      <c r="I126" s="14">
        <v>7</v>
      </c>
      <c r="J126" s="15">
        <v>183608</v>
      </c>
      <c r="K126" s="27">
        <v>92214</v>
      </c>
      <c r="L126" s="12">
        <v>29848</v>
      </c>
      <c r="M126" s="12">
        <v>13500</v>
      </c>
      <c r="N126" s="12"/>
      <c r="O126" s="12"/>
      <c r="P126" s="12">
        <v>2000</v>
      </c>
      <c r="Q126" s="12">
        <v>1000</v>
      </c>
      <c r="R126" s="12"/>
      <c r="S126" s="12">
        <v>150</v>
      </c>
      <c r="T126" s="12"/>
      <c r="U126" s="12">
        <v>2320</v>
      </c>
      <c r="V126" s="16">
        <f t="shared" si="1"/>
        <v>141032</v>
      </c>
      <c r="W126" s="12">
        <v>2515</v>
      </c>
      <c r="X126" s="12">
        <v>880</v>
      </c>
      <c r="Y126" s="16">
        <f>Table1[[#This Row],[LOAD K.M]]+Table1[[#This Row],[EMPTY K.M]]</f>
        <v>3395</v>
      </c>
      <c r="Z126" s="16">
        <f>Table1[[#This Row],[INVOICE AMOUNT2]]-Table1[[#This Row],[Total Exp.]]</f>
        <v>42576</v>
      </c>
      <c r="AA126" s="12">
        <f>Table1[[#This Row],[Total Exp.]]/Table1[[#This Row],[Total k.m]]</f>
        <v>41.541089837997056</v>
      </c>
      <c r="AB126" s="17">
        <f>Table1[[#This Row],[Profit/loss]]/Table1[[#This Row],[Total k.m]]</f>
        <v>12.54079528718704</v>
      </c>
      <c r="AC126" s="12">
        <f>Table1[[#This Row],[INVOICE AMOUNT2]]/Table1[[#This Row],[Total k.m]]</f>
        <v>54.081885125184094</v>
      </c>
    </row>
    <row r="127" spans="1:29" x14ac:dyDescent="0.3">
      <c r="A127" s="46">
        <v>125</v>
      </c>
      <c r="B127" s="25" t="s">
        <v>302</v>
      </c>
      <c r="C127" s="12" t="s">
        <v>98</v>
      </c>
      <c r="D127" s="10">
        <v>45955</v>
      </c>
      <c r="E127" s="24" t="s">
        <v>299</v>
      </c>
      <c r="F127" s="12" t="s">
        <v>35</v>
      </c>
      <c r="G127" s="12" t="s">
        <v>36</v>
      </c>
      <c r="H127" s="12" t="s">
        <v>85</v>
      </c>
      <c r="I127" s="14">
        <v>8</v>
      </c>
      <c r="J127" s="15">
        <v>81267</v>
      </c>
      <c r="K127" s="21">
        <v>33289</v>
      </c>
      <c r="L127" s="38">
        <v>7856.6</v>
      </c>
      <c r="M127" s="12">
        <v>3000</v>
      </c>
      <c r="N127" s="12"/>
      <c r="O127" s="12"/>
      <c r="P127" s="12">
        <v>2000</v>
      </c>
      <c r="Q127" s="12">
        <v>1500</v>
      </c>
      <c r="R127" s="12"/>
      <c r="S127" s="12">
        <v>1000</v>
      </c>
      <c r="T127" s="12"/>
      <c r="U127" s="12">
        <v>2640</v>
      </c>
      <c r="V127" s="16">
        <f t="shared" si="1"/>
        <v>51285.599999999999</v>
      </c>
      <c r="W127" s="12">
        <v>577</v>
      </c>
      <c r="X127" s="12">
        <v>691</v>
      </c>
      <c r="Y127" s="16">
        <f>Table1[[#This Row],[LOAD K.M]]+Table1[[#This Row],[EMPTY K.M]]</f>
        <v>1268</v>
      </c>
      <c r="Z127" s="16">
        <f>Table1[[#This Row],[INVOICE AMOUNT2]]-Table1[[#This Row],[Total Exp.]]</f>
        <v>29981.4</v>
      </c>
      <c r="AA127" s="12">
        <f>Table1[[#This Row],[Total Exp.]]/Table1[[#This Row],[Total k.m]]</f>
        <v>40.446056782334381</v>
      </c>
      <c r="AB127" s="17">
        <f>Table1[[#This Row],[Profit/loss]]/Table1[[#This Row],[Total k.m]]</f>
        <v>23.644637223974765</v>
      </c>
      <c r="AC127" s="12">
        <f>Table1[[#This Row],[INVOICE AMOUNT2]]/Table1[[#This Row],[Total k.m]]</f>
        <v>64.09069400630915</v>
      </c>
    </row>
    <row r="128" spans="1:29" x14ac:dyDescent="0.3">
      <c r="A128" s="45">
        <v>126</v>
      </c>
      <c r="B128" s="25" t="s">
        <v>303</v>
      </c>
      <c r="C128" s="12" t="s">
        <v>93</v>
      </c>
      <c r="D128" s="10">
        <v>45955</v>
      </c>
      <c r="E128" s="24" t="s">
        <v>274</v>
      </c>
      <c r="F128" s="12" t="s">
        <v>65</v>
      </c>
      <c r="G128" s="12" t="s">
        <v>66</v>
      </c>
      <c r="H128" s="12" t="s">
        <v>96</v>
      </c>
      <c r="I128" s="14">
        <v>8</v>
      </c>
      <c r="J128" s="15">
        <v>148047</v>
      </c>
      <c r="K128" s="21">
        <v>54675</v>
      </c>
      <c r="L128" s="47">
        <v>16851.599999999999</v>
      </c>
      <c r="M128" s="12">
        <v>6000</v>
      </c>
      <c r="N128" s="12"/>
      <c r="O128" s="12"/>
      <c r="P128" s="12">
        <v>2000</v>
      </c>
      <c r="Q128" s="12">
        <v>1000</v>
      </c>
      <c r="R128" s="12"/>
      <c r="S128" s="12">
        <v>150</v>
      </c>
      <c r="T128" s="12"/>
      <c r="U128" s="12">
        <v>1320</v>
      </c>
      <c r="V128" s="16">
        <f t="shared" si="1"/>
        <v>81996.600000000006</v>
      </c>
      <c r="W128" s="12">
        <v>1730</v>
      </c>
      <c r="X128" s="12">
        <v>258</v>
      </c>
      <c r="Y128" s="16">
        <f>Table1[[#This Row],[LOAD K.M]]+Table1[[#This Row],[EMPTY K.M]]</f>
        <v>1988</v>
      </c>
      <c r="Z128" s="16">
        <f>Table1[[#This Row],[INVOICE AMOUNT2]]-Table1[[#This Row],[Total Exp.]]</f>
        <v>66050.399999999994</v>
      </c>
      <c r="AA128" s="12">
        <f>Table1[[#This Row],[Total Exp.]]/Table1[[#This Row],[Total k.m]]</f>
        <v>41.24577464788733</v>
      </c>
      <c r="AB128" s="17">
        <f>Table1[[#This Row],[Profit/loss]]/Table1[[#This Row],[Total k.m]]</f>
        <v>33.224547283702208</v>
      </c>
      <c r="AC128" s="12">
        <f>Table1[[#This Row],[INVOICE AMOUNT2]]/Table1[[#This Row],[Total k.m]]</f>
        <v>74.470321931589538</v>
      </c>
    </row>
    <row r="129" spans="1:29" x14ac:dyDescent="0.3">
      <c r="A129" s="46">
        <v>127</v>
      </c>
      <c r="B129" s="25" t="s">
        <v>304</v>
      </c>
      <c r="C129" s="12" t="s">
        <v>105</v>
      </c>
      <c r="D129" s="10">
        <v>45955</v>
      </c>
      <c r="E129" s="24" t="s">
        <v>305</v>
      </c>
      <c r="F129" s="12" t="s">
        <v>65</v>
      </c>
      <c r="G129" s="12" t="s">
        <v>66</v>
      </c>
      <c r="H129" s="12" t="s">
        <v>306</v>
      </c>
      <c r="I129" s="14">
        <v>8</v>
      </c>
      <c r="J129" s="15">
        <v>189725</v>
      </c>
      <c r="K129" s="21">
        <v>65808</v>
      </c>
      <c r="L129" s="12">
        <v>20728</v>
      </c>
      <c r="M129" s="12">
        <v>6000</v>
      </c>
      <c r="N129" s="12"/>
      <c r="O129" s="12">
        <v>850</v>
      </c>
      <c r="P129" s="12">
        <v>2000</v>
      </c>
      <c r="Q129" s="12">
        <v>1000</v>
      </c>
      <c r="R129" s="12"/>
      <c r="S129" s="12"/>
      <c r="T129" s="12"/>
      <c r="U129" s="12">
        <v>2216</v>
      </c>
      <c r="V129" s="16">
        <f t="shared" si="1"/>
        <v>98602</v>
      </c>
      <c r="W129" s="12">
        <v>2185</v>
      </c>
      <c r="X129" s="12">
        <v>202</v>
      </c>
      <c r="Y129" s="16">
        <f>Table1[[#This Row],[LOAD K.M]]+Table1[[#This Row],[EMPTY K.M]]</f>
        <v>2387</v>
      </c>
      <c r="Z129" s="16">
        <f>Table1[[#This Row],[INVOICE AMOUNT2]]-Table1[[#This Row],[Total Exp.]]</f>
        <v>91123</v>
      </c>
      <c r="AA129" s="12">
        <f>Table1[[#This Row],[Total Exp.]]/Table1[[#This Row],[Total k.m]]</f>
        <v>41.307917888563047</v>
      </c>
      <c r="AB129" s="17">
        <f>Table1[[#This Row],[Profit/loss]]/Table1[[#This Row],[Total k.m]]</f>
        <v>38.174696271470467</v>
      </c>
      <c r="AC129" s="12">
        <f>Table1[[#This Row],[INVOICE AMOUNT2]]/Table1[[#This Row],[Total k.m]]</f>
        <v>79.482614160033521</v>
      </c>
    </row>
    <row r="130" spans="1:29" x14ac:dyDescent="0.3">
      <c r="A130" s="45">
        <v>128</v>
      </c>
      <c r="B130" s="25" t="s">
        <v>307</v>
      </c>
      <c r="C130" s="12" t="s">
        <v>95</v>
      </c>
      <c r="D130" s="10">
        <v>45955</v>
      </c>
      <c r="E130" s="24" t="s">
        <v>308</v>
      </c>
      <c r="F130" s="12" t="s">
        <v>178</v>
      </c>
      <c r="G130" s="12" t="s">
        <v>309</v>
      </c>
      <c r="H130" s="12" t="s">
        <v>310</v>
      </c>
      <c r="I130" s="14">
        <v>6</v>
      </c>
      <c r="J130" s="15">
        <v>71750</v>
      </c>
      <c r="K130" s="21">
        <v>29765</v>
      </c>
      <c r="L130" s="12">
        <v>6875</v>
      </c>
      <c r="M130" s="12">
        <v>1500</v>
      </c>
      <c r="N130" s="12"/>
      <c r="O130" s="12"/>
      <c r="P130" s="12">
        <v>2000</v>
      </c>
      <c r="Q130" s="12">
        <v>1000</v>
      </c>
      <c r="R130" s="12"/>
      <c r="S130" s="12">
        <v>1000</v>
      </c>
      <c r="T130" s="12"/>
      <c r="U130" s="12"/>
      <c r="V130" s="16">
        <f t="shared" si="1"/>
        <v>42140</v>
      </c>
      <c r="W130" s="12">
        <v>785</v>
      </c>
      <c r="X130" s="12">
        <v>325</v>
      </c>
      <c r="Y130" s="16">
        <f>Table1[[#This Row],[LOAD K.M]]+Table1[[#This Row],[EMPTY K.M]]</f>
        <v>1110</v>
      </c>
      <c r="Z130" s="16">
        <f>Table1[[#This Row],[INVOICE AMOUNT2]]-Table1[[#This Row],[Total Exp.]]</f>
        <v>29610</v>
      </c>
      <c r="AA130" s="12">
        <f>Table1[[#This Row],[Total Exp.]]/Table1[[#This Row],[Total k.m]]</f>
        <v>37.963963963963963</v>
      </c>
      <c r="AB130" s="17">
        <f>Table1[[#This Row],[Profit/loss]]/Table1[[#This Row],[Total k.m]]</f>
        <v>26.675675675675677</v>
      </c>
      <c r="AC130" s="12">
        <f>Table1[[#This Row],[INVOICE AMOUNT2]]/Table1[[#This Row],[Total k.m]]</f>
        <v>64.63963963963964</v>
      </c>
    </row>
    <row r="131" spans="1:29" x14ac:dyDescent="0.3">
      <c r="A131" s="46">
        <v>129</v>
      </c>
      <c r="B131" s="25" t="s">
        <v>311</v>
      </c>
      <c r="C131" s="12" t="s">
        <v>77</v>
      </c>
      <c r="D131" s="10">
        <v>45955</v>
      </c>
      <c r="E131" s="24" t="s">
        <v>308</v>
      </c>
      <c r="F131" s="12" t="s">
        <v>178</v>
      </c>
      <c r="G131" s="12" t="s">
        <v>309</v>
      </c>
      <c r="H131" s="12" t="s">
        <v>159</v>
      </c>
      <c r="I131" s="14">
        <v>6</v>
      </c>
      <c r="J131" s="15">
        <v>124638</v>
      </c>
      <c r="K131" s="21">
        <v>56445</v>
      </c>
      <c r="L131" s="12">
        <v>18568</v>
      </c>
      <c r="M131" s="12">
        <v>4500</v>
      </c>
      <c r="N131" s="12"/>
      <c r="O131" s="12"/>
      <c r="P131" s="12">
        <v>2000</v>
      </c>
      <c r="Q131" s="12">
        <v>1000</v>
      </c>
      <c r="R131" s="12"/>
      <c r="S131" s="12"/>
      <c r="T131" s="12">
        <v>850</v>
      </c>
      <c r="U131" s="12">
        <v>2640</v>
      </c>
      <c r="V131" s="16">
        <f t="shared" si="1"/>
        <v>86003</v>
      </c>
      <c r="W131" s="12">
        <v>1609</v>
      </c>
      <c r="X131" s="12">
        <v>460</v>
      </c>
      <c r="Y131" s="16">
        <f>Table1[[#This Row],[LOAD K.M]]+Table1[[#This Row],[EMPTY K.M]]</f>
        <v>2069</v>
      </c>
      <c r="Z131" s="16">
        <f>Table1[[#This Row],[INVOICE AMOUNT2]]-Table1[[#This Row],[Total Exp.]]</f>
        <v>38635</v>
      </c>
      <c r="AA131" s="12">
        <f>Table1[[#This Row],[Total Exp.]]/Table1[[#This Row],[Total k.m]]</f>
        <v>41.567423876268727</v>
      </c>
      <c r="AB131" s="17">
        <f>Table1[[#This Row],[Profit/loss]]/Table1[[#This Row],[Total k.m]]</f>
        <v>18.673272112131464</v>
      </c>
      <c r="AC131" s="12">
        <f>Table1[[#This Row],[INVOICE AMOUNT2]]/Table1[[#This Row],[Total k.m]]</f>
        <v>60.240695988400191</v>
      </c>
    </row>
    <row r="132" spans="1:29" x14ac:dyDescent="0.3">
      <c r="A132" s="45">
        <v>130</v>
      </c>
      <c r="B132" s="25" t="s">
        <v>312</v>
      </c>
      <c r="C132" s="12" t="s">
        <v>93</v>
      </c>
      <c r="D132" s="10">
        <v>45955</v>
      </c>
      <c r="E132" s="24" t="s">
        <v>308</v>
      </c>
      <c r="F132" s="12" t="s">
        <v>178</v>
      </c>
      <c r="G132" s="12" t="s">
        <v>309</v>
      </c>
      <c r="H132" s="12" t="s">
        <v>313</v>
      </c>
      <c r="I132" s="14">
        <v>6</v>
      </c>
      <c r="J132" s="15">
        <v>53210</v>
      </c>
      <c r="K132" s="21">
        <v>23418</v>
      </c>
      <c r="L132" s="12">
        <v>8824</v>
      </c>
      <c r="M132" s="12">
        <v>1500</v>
      </c>
      <c r="N132" s="12"/>
      <c r="O132" s="12">
        <v>1750</v>
      </c>
      <c r="P132" s="12">
        <v>2000</v>
      </c>
      <c r="Q132" s="12">
        <v>1000</v>
      </c>
      <c r="R132" s="12"/>
      <c r="S132" s="12">
        <v>300</v>
      </c>
      <c r="T132" s="12"/>
      <c r="U132" s="12">
        <v>1500</v>
      </c>
      <c r="V132" s="16">
        <f t="shared" ref="V132:V195" si="2">SUM(K132:U132)</f>
        <v>40292</v>
      </c>
      <c r="W132" s="12">
        <v>751</v>
      </c>
      <c r="X132" s="12">
        <v>111</v>
      </c>
      <c r="Y132" s="16">
        <f>Table1[[#This Row],[LOAD K.M]]+Table1[[#This Row],[EMPTY K.M]]</f>
        <v>862</v>
      </c>
      <c r="Z132" s="16">
        <f>Table1[[#This Row],[INVOICE AMOUNT2]]-Table1[[#This Row],[Total Exp.]]</f>
        <v>12918</v>
      </c>
      <c r="AA132" s="12">
        <f>Table1[[#This Row],[Total Exp.]]/Table1[[#This Row],[Total k.m]]</f>
        <v>46.742459396751741</v>
      </c>
      <c r="AB132" s="17">
        <f>Table1[[#This Row],[Profit/loss]]/Table1[[#This Row],[Total k.m]]</f>
        <v>14.986078886310905</v>
      </c>
      <c r="AC132" s="12">
        <f>Table1[[#This Row],[INVOICE AMOUNT2]]/Table1[[#This Row],[Total k.m]]</f>
        <v>61.728538283062647</v>
      </c>
    </row>
    <row r="133" spans="1:29" x14ac:dyDescent="0.3">
      <c r="A133" s="46">
        <v>131</v>
      </c>
      <c r="B133" s="25" t="s">
        <v>314</v>
      </c>
      <c r="C133" s="48" t="s">
        <v>46</v>
      </c>
      <c r="D133" s="10">
        <v>45955</v>
      </c>
      <c r="E133" s="49" t="s">
        <v>308</v>
      </c>
      <c r="F133" s="48" t="s">
        <v>65</v>
      </c>
      <c r="G133" s="48" t="s">
        <v>66</v>
      </c>
      <c r="H133" s="48" t="s">
        <v>315</v>
      </c>
      <c r="I133" s="14">
        <v>8</v>
      </c>
      <c r="J133" s="15">
        <v>157690</v>
      </c>
      <c r="K133" s="21">
        <v>63123</v>
      </c>
      <c r="L133" s="12">
        <v>21615</v>
      </c>
      <c r="M133" s="12">
        <v>9500</v>
      </c>
      <c r="N133" s="12"/>
      <c r="O133" s="12"/>
      <c r="P133" s="12">
        <v>2000</v>
      </c>
      <c r="Q133" s="12">
        <v>1000</v>
      </c>
      <c r="R133" s="12"/>
      <c r="S133" s="12"/>
      <c r="T133" s="12"/>
      <c r="U133" s="12">
        <v>1680</v>
      </c>
      <c r="V133" s="16">
        <f t="shared" si="2"/>
        <v>98918</v>
      </c>
      <c r="W133" s="12">
        <v>1744</v>
      </c>
      <c r="X133" s="12">
        <v>563</v>
      </c>
      <c r="Y133" s="16">
        <f>Table1[[#This Row],[LOAD K.M]]+Table1[[#This Row],[EMPTY K.M]]</f>
        <v>2307</v>
      </c>
      <c r="Z133" s="16">
        <f>Table1[[#This Row],[INVOICE AMOUNT2]]-Table1[[#This Row],[Total Exp.]]</f>
        <v>58772</v>
      </c>
      <c r="AA133" s="12">
        <f>Table1[[#This Row],[Total Exp.]]/Table1[[#This Row],[Total k.m]]</f>
        <v>42.877329865626358</v>
      </c>
      <c r="AB133" s="17">
        <f>Table1[[#This Row],[Profit/loss]]/Table1[[#This Row],[Total k.m]]</f>
        <v>25.475509319462507</v>
      </c>
      <c r="AC133" s="12">
        <f>Table1[[#This Row],[INVOICE AMOUNT2]]/Table1[[#This Row],[Total k.m]]</f>
        <v>68.352839185088854</v>
      </c>
    </row>
    <row r="134" spans="1:29" x14ac:dyDescent="0.3">
      <c r="A134" s="45">
        <v>132</v>
      </c>
      <c r="B134" s="25" t="s">
        <v>316</v>
      </c>
      <c r="C134" s="48" t="s">
        <v>82</v>
      </c>
      <c r="D134" s="10">
        <v>45955</v>
      </c>
      <c r="E134" s="49" t="s">
        <v>308</v>
      </c>
      <c r="F134" s="48" t="s">
        <v>35</v>
      </c>
      <c r="G134" s="48" t="s">
        <v>250</v>
      </c>
      <c r="H134" s="48" t="s">
        <v>66</v>
      </c>
      <c r="I134" s="14">
        <v>8</v>
      </c>
      <c r="J134" s="15">
        <v>159494</v>
      </c>
      <c r="K134" s="21">
        <v>57127</v>
      </c>
      <c r="L134" s="12">
        <v>19030</v>
      </c>
      <c r="M134" s="12">
        <v>7000</v>
      </c>
      <c r="N134" s="12"/>
      <c r="O134" s="12"/>
      <c r="P134" s="12">
        <v>2000</v>
      </c>
      <c r="Q134" s="12">
        <v>1500</v>
      </c>
      <c r="R134" s="12"/>
      <c r="S134" s="12">
        <v>200</v>
      </c>
      <c r="T134" s="12"/>
      <c r="U134" s="12">
        <v>1320</v>
      </c>
      <c r="V134" s="16">
        <f t="shared" si="2"/>
        <v>88177</v>
      </c>
      <c r="W134" s="12">
        <v>2034</v>
      </c>
      <c r="X134" s="12">
        <v>49</v>
      </c>
      <c r="Y134" s="16">
        <f>Table1[[#This Row],[LOAD K.M]]+Table1[[#This Row],[EMPTY K.M]]</f>
        <v>2083</v>
      </c>
      <c r="Z134" s="16">
        <f>Table1[[#This Row],[INVOICE AMOUNT2]]-Table1[[#This Row],[Total Exp.]]</f>
        <v>71317</v>
      </c>
      <c r="AA134" s="12">
        <f>Table1[[#This Row],[Total Exp.]]/Table1[[#This Row],[Total k.m]]</f>
        <v>42.33173307729237</v>
      </c>
      <c r="AB134" s="17">
        <f>Table1[[#This Row],[Profit/loss]]/Table1[[#This Row],[Total k.m]]</f>
        <v>34.23763802208353</v>
      </c>
      <c r="AC134" s="12">
        <f>Table1[[#This Row],[INVOICE AMOUNT2]]/Table1[[#This Row],[Total k.m]]</f>
        <v>76.5693710993759</v>
      </c>
    </row>
    <row r="135" spans="1:29" x14ac:dyDescent="0.3">
      <c r="A135" s="46">
        <v>133</v>
      </c>
      <c r="B135" s="25" t="s">
        <v>317</v>
      </c>
      <c r="C135" s="48" t="s">
        <v>134</v>
      </c>
      <c r="D135" s="10">
        <v>45955</v>
      </c>
      <c r="E135" s="49" t="s">
        <v>308</v>
      </c>
      <c r="F135" s="48" t="s">
        <v>113</v>
      </c>
      <c r="G135" s="48" t="s">
        <v>114</v>
      </c>
      <c r="H135" s="48" t="s">
        <v>318</v>
      </c>
      <c r="I135" s="14" t="s">
        <v>246</v>
      </c>
      <c r="J135" s="15">
        <v>84973</v>
      </c>
      <c r="K135" s="21">
        <v>43857</v>
      </c>
      <c r="L135" s="12">
        <v>13083</v>
      </c>
      <c r="M135" s="12">
        <v>4000</v>
      </c>
      <c r="N135" s="12"/>
      <c r="O135" s="12"/>
      <c r="P135" s="12">
        <v>2000</v>
      </c>
      <c r="Q135" s="12">
        <v>1000</v>
      </c>
      <c r="R135" s="12"/>
      <c r="S135" s="12"/>
      <c r="T135" s="12">
        <v>80</v>
      </c>
      <c r="U135" s="12">
        <v>2640</v>
      </c>
      <c r="V135" s="16">
        <f t="shared" si="2"/>
        <v>66660</v>
      </c>
      <c r="W135" s="12">
        <v>1173</v>
      </c>
      <c r="X135" s="12">
        <v>430</v>
      </c>
      <c r="Y135" s="16">
        <f>Table1[[#This Row],[LOAD K.M]]+Table1[[#This Row],[EMPTY K.M]]</f>
        <v>1603</v>
      </c>
      <c r="Z135" s="16">
        <f>Table1[[#This Row],[INVOICE AMOUNT2]]-Table1[[#This Row],[Total Exp.]]</f>
        <v>18313</v>
      </c>
      <c r="AA135" s="12">
        <f>Table1[[#This Row],[Total Exp.]]/Table1[[#This Row],[Total k.m]]</f>
        <v>41.584529008109797</v>
      </c>
      <c r="AB135" s="17">
        <f>Table1[[#This Row],[Profit/loss]]/Table1[[#This Row],[Total k.m]]</f>
        <v>11.424204616344355</v>
      </c>
      <c r="AC135" s="12">
        <f>Table1[[#This Row],[INVOICE AMOUNT2]]/Table1[[#This Row],[Total k.m]]</f>
        <v>53.008733624454152</v>
      </c>
    </row>
    <row r="136" spans="1:29" x14ac:dyDescent="0.3">
      <c r="A136" s="45">
        <v>134</v>
      </c>
      <c r="B136" s="25" t="s">
        <v>319</v>
      </c>
      <c r="C136" s="48" t="s">
        <v>109</v>
      </c>
      <c r="D136" s="10">
        <v>45955</v>
      </c>
      <c r="E136" s="49" t="s">
        <v>308</v>
      </c>
      <c r="F136" s="12" t="s">
        <v>35</v>
      </c>
      <c r="G136" s="12" t="s">
        <v>99</v>
      </c>
      <c r="H136" s="12" t="s">
        <v>194</v>
      </c>
      <c r="I136" s="14">
        <v>7</v>
      </c>
      <c r="J136" s="15">
        <v>129737</v>
      </c>
      <c r="K136" s="21">
        <v>49230</v>
      </c>
      <c r="L136" s="12">
        <v>19083</v>
      </c>
      <c r="M136" s="12">
        <v>4000</v>
      </c>
      <c r="N136" s="12"/>
      <c r="O136" s="12"/>
      <c r="P136" s="12">
        <v>2000</v>
      </c>
      <c r="Q136" s="12">
        <v>1000</v>
      </c>
      <c r="R136" s="12"/>
      <c r="S136" s="12"/>
      <c r="T136" s="12">
        <v>5000</v>
      </c>
      <c r="U136" s="12"/>
      <c r="V136" s="16">
        <f t="shared" si="2"/>
        <v>80313</v>
      </c>
      <c r="W136" s="12">
        <v>1141</v>
      </c>
      <c r="X136" s="12">
        <v>753</v>
      </c>
      <c r="Y136" s="16">
        <f>Table1[[#This Row],[LOAD K.M]]+Table1[[#This Row],[EMPTY K.M]]</f>
        <v>1894</v>
      </c>
      <c r="Z136" s="16">
        <f>Table1[[#This Row],[INVOICE AMOUNT2]]-Table1[[#This Row],[Total Exp.]]</f>
        <v>49424</v>
      </c>
      <c r="AA136" s="12">
        <f>Table1[[#This Row],[Total Exp.]]/Table1[[#This Row],[Total k.m]]</f>
        <v>42.403907074973603</v>
      </c>
      <c r="AB136" s="17">
        <f>Table1[[#This Row],[Profit/loss]]/Table1[[#This Row],[Total k.m]]</f>
        <v>26.095036958817317</v>
      </c>
      <c r="AC136" s="12">
        <f>Table1[[#This Row],[INVOICE AMOUNT2]]/Table1[[#This Row],[Total k.m]]</f>
        <v>68.49894403379092</v>
      </c>
    </row>
    <row r="137" spans="1:29" x14ac:dyDescent="0.3">
      <c r="A137" s="46">
        <v>135</v>
      </c>
      <c r="B137" s="25" t="s">
        <v>320</v>
      </c>
      <c r="C137" s="13" t="s">
        <v>63</v>
      </c>
      <c r="D137" s="10">
        <v>45955</v>
      </c>
      <c r="E137" s="11" t="s">
        <v>308</v>
      </c>
      <c r="F137" s="13" t="s">
        <v>30</v>
      </c>
      <c r="G137" s="13" t="s">
        <v>31</v>
      </c>
      <c r="H137" s="13" t="s">
        <v>32</v>
      </c>
      <c r="I137" s="14">
        <v>6</v>
      </c>
      <c r="J137" s="14">
        <v>38000</v>
      </c>
      <c r="K137" s="29">
        <v>26771</v>
      </c>
      <c r="L137" s="13">
        <v>8678</v>
      </c>
      <c r="M137" s="13">
        <v>500</v>
      </c>
      <c r="N137" s="13"/>
      <c r="O137" s="13"/>
      <c r="P137" s="13"/>
      <c r="Q137" s="13">
        <v>1000</v>
      </c>
      <c r="R137" s="13"/>
      <c r="S137" s="13"/>
      <c r="T137" s="13"/>
      <c r="U137" s="13">
        <v>1320</v>
      </c>
      <c r="V137" s="16">
        <f t="shared" si="2"/>
        <v>38269</v>
      </c>
      <c r="W137" s="13">
        <v>980</v>
      </c>
      <c r="X137" s="13">
        <v>35</v>
      </c>
      <c r="Y137" s="16">
        <f>Table1[[#This Row],[LOAD K.M]]+Table1[[#This Row],[EMPTY K.M]]</f>
        <v>1015</v>
      </c>
      <c r="Z137" s="16">
        <f>Table1[[#This Row],[INVOICE AMOUNT2]]-Table1[[#This Row],[Total Exp.]]</f>
        <v>-269</v>
      </c>
      <c r="AA137" s="13">
        <f>Table1[[#This Row],[Total Exp.]]/Table1[[#This Row],[Total k.m]]</f>
        <v>37.703448275862065</v>
      </c>
      <c r="AB137" s="26">
        <f>Table1[[#This Row],[Profit/loss]]/Table1[[#This Row],[Total k.m]]</f>
        <v>-0.26502463054187192</v>
      </c>
      <c r="AC137" s="12">
        <f>Table1[[#This Row],[INVOICE AMOUNT2]]/Table1[[#This Row],[Total k.m]]</f>
        <v>37.438423645320199</v>
      </c>
    </row>
    <row r="138" spans="1:29" x14ac:dyDescent="0.3">
      <c r="A138" s="45">
        <v>136</v>
      </c>
      <c r="B138" s="25" t="s">
        <v>321</v>
      </c>
      <c r="C138" s="50" t="s">
        <v>29</v>
      </c>
      <c r="D138" s="10">
        <v>45955</v>
      </c>
      <c r="E138" s="49" t="s">
        <v>322</v>
      </c>
      <c r="F138" s="12" t="s">
        <v>35</v>
      </c>
      <c r="G138" s="12" t="s">
        <v>36</v>
      </c>
      <c r="H138" s="12" t="s">
        <v>323</v>
      </c>
      <c r="I138" s="14">
        <v>8</v>
      </c>
      <c r="J138" s="15">
        <v>110596</v>
      </c>
      <c r="K138" s="21">
        <v>36487</v>
      </c>
      <c r="L138" s="12">
        <v>12794</v>
      </c>
      <c r="M138" s="12">
        <v>6500</v>
      </c>
      <c r="N138" s="12"/>
      <c r="O138" s="12"/>
      <c r="P138" s="12">
        <v>2000</v>
      </c>
      <c r="Q138" s="12">
        <v>1000</v>
      </c>
      <c r="R138" s="12"/>
      <c r="S138" s="12">
        <v>200</v>
      </c>
      <c r="T138" s="12">
        <v>218</v>
      </c>
      <c r="U138" s="12">
        <v>2640</v>
      </c>
      <c r="V138" s="16">
        <f t="shared" si="2"/>
        <v>61839</v>
      </c>
      <c r="W138" s="12">
        <v>960</v>
      </c>
      <c r="X138" s="12">
        <v>406</v>
      </c>
      <c r="Y138" s="16">
        <f>Table1[[#This Row],[LOAD K.M]]+Table1[[#This Row],[EMPTY K.M]]</f>
        <v>1366</v>
      </c>
      <c r="Z138" s="16">
        <f>Table1[[#This Row],[INVOICE AMOUNT2]]-Table1[[#This Row],[Total Exp.]]</f>
        <v>48757</v>
      </c>
      <c r="AA138" s="12">
        <f>Table1[[#This Row],[Total Exp.]]/Table1[[#This Row],[Total k.m]]</f>
        <v>45.270131771595899</v>
      </c>
      <c r="AB138" s="17">
        <f>Table1[[#This Row],[Profit/loss]]/Table1[[#This Row],[Total k.m]]</f>
        <v>35.693265007320647</v>
      </c>
      <c r="AC138" s="12">
        <f>Table1[[#This Row],[INVOICE AMOUNT2]]/Table1[[#This Row],[Total k.m]]</f>
        <v>80.963396778916547</v>
      </c>
    </row>
    <row r="139" spans="1:29" x14ac:dyDescent="0.3">
      <c r="A139" s="46">
        <v>137</v>
      </c>
      <c r="B139" s="25" t="s">
        <v>324</v>
      </c>
      <c r="C139" s="50" t="s">
        <v>98</v>
      </c>
      <c r="D139" s="10">
        <v>45955</v>
      </c>
      <c r="E139" s="24" t="s">
        <v>325</v>
      </c>
      <c r="F139" s="12" t="s">
        <v>35</v>
      </c>
      <c r="G139" s="12" t="s">
        <v>36</v>
      </c>
      <c r="H139" s="12" t="s">
        <v>326</v>
      </c>
      <c r="I139" s="14">
        <v>8</v>
      </c>
      <c r="J139" s="15">
        <v>112272</v>
      </c>
      <c r="K139" s="21">
        <v>40792</v>
      </c>
      <c r="L139" s="21">
        <v>13852.3</v>
      </c>
      <c r="M139" s="12">
        <v>6500</v>
      </c>
      <c r="N139" s="12"/>
      <c r="O139" s="12">
        <v>900</v>
      </c>
      <c r="P139" s="12">
        <v>2000</v>
      </c>
      <c r="Q139" s="12">
        <v>1000</v>
      </c>
      <c r="R139" s="12"/>
      <c r="S139" s="12">
        <v>200</v>
      </c>
      <c r="T139" s="12">
        <v>1320</v>
      </c>
      <c r="U139" s="12"/>
      <c r="V139" s="16">
        <f t="shared" si="2"/>
        <v>66564.3</v>
      </c>
      <c r="W139" s="12">
        <v>1039</v>
      </c>
      <c r="X139" s="12">
        <v>483</v>
      </c>
      <c r="Y139" s="16">
        <f>Table1[[#This Row],[LOAD K.M]]+Table1[[#This Row],[EMPTY K.M]]</f>
        <v>1522</v>
      </c>
      <c r="Z139" s="16">
        <f>Table1[[#This Row],[INVOICE AMOUNT2]]-Table1[[#This Row],[Total Exp.]]</f>
        <v>45707.7</v>
      </c>
      <c r="AA139" s="12">
        <f>Table1[[#This Row],[Total Exp.]]/Table1[[#This Row],[Total k.m]]</f>
        <v>43.734756898817345</v>
      </c>
      <c r="AB139" s="17">
        <f>Table1[[#This Row],[Profit/loss]]/Table1[[#This Row],[Total k.m]]</f>
        <v>30.031340341655714</v>
      </c>
      <c r="AC139" s="12">
        <f>Table1[[#This Row],[INVOICE AMOUNT2]]/Table1[[#This Row],[Total k.m]]</f>
        <v>73.766097240473059</v>
      </c>
    </row>
    <row r="140" spans="1:29" x14ac:dyDescent="0.3">
      <c r="A140" s="45">
        <v>138</v>
      </c>
      <c r="B140" s="25" t="s">
        <v>327</v>
      </c>
      <c r="C140" s="50" t="s">
        <v>39</v>
      </c>
      <c r="D140" s="10">
        <v>45955</v>
      </c>
      <c r="E140" s="24" t="s">
        <v>325</v>
      </c>
      <c r="F140" s="12" t="s">
        <v>35</v>
      </c>
      <c r="G140" s="12" t="s">
        <v>99</v>
      </c>
      <c r="H140" s="12" t="s">
        <v>179</v>
      </c>
      <c r="I140" s="14">
        <v>7</v>
      </c>
      <c r="J140" s="15">
        <v>69821</v>
      </c>
      <c r="K140" s="21">
        <v>35123</v>
      </c>
      <c r="L140" s="12">
        <v>16375</v>
      </c>
      <c r="M140" s="12"/>
      <c r="N140" s="12"/>
      <c r="O140" s="12">
        <v>800</v>
      </c>
      <c r="P140" s="12">
        <v>2000</v>
      </c>
      <c r="Q140" s="12">
        <v>1000</v>
      </c>
      <c r="R140" s="12"/>
      <c r="S140" s="12"/>
      <c r="T140" s="12">
        <v>250</v>
      </c>
      <c r="U140" s="12"/>
      <c r="V140" s="16">
        <f t="shared" si="2"/>
        <v>55548</v>
      </c>
      <c r="W140" s="12">
        <v>690</v>
      </c>
      <c r="X140" s="12">
        <v>689</v>
      </c>
      <c r="Y140" s="16">
        <f>Table1[[#This Row],[LOAD K.M]]+Table1[[#This Row],[EMPTY K.M]]</f>
        <v>1379</v>
      </c>
      <c r="Z140" s="16">
        <f>Table1[[#This Row],[INVOICE AMOUNT2]]-Table1[[#This Row],[Total Exp.]]</f>
        <v>14273</v>
      </c>
      <c r="AA140" s="12">
        <f>Table1[[#This Row],[Total Exp.]]/Table1[[#This Row],[Total k.m]]</f>
        <v>40.281363306744019</v>
      </c>
      <c r="AB140" s="17">
        <f>Table1[[#This Row],[Profit/loss]]/Table1[[#This Row],[Total k.m]]</f>
        <v>10.350253807106599</v>
      </c>
      <c r="AC140" s="12">
        <f>Table1[[#This Row],[INVOICE AMOUNT2]]/Table1[[#This Row],[Total k.m]]</f>
        <v>50.631617113850616</v>
      </c>
    </row>
    <row r="141" spans="1:29" x14ac:dyDescent="0.3">
      <c r="A141" s="46">
        <v>139</v>
      </c>
      <c r="B141" s="25" t="s">
        <v>328</v>
      </c>
      <c r="C141" s="50" t="s">
        <v>87</v>
      </c>
      <c r="D141" s="10">
        <v>45955</v>
      </c>
      <c r="E141" s="24" t="s">
        <v>329</v>
      </c>
      <c r="F141" s="12" t="s">
        <v>35</v>
      </c>
      <c r="G141" s="12" t="s">
        <v>250</v>
      </c>
      <c r="H141" s="12" t="s">
        <v>330</v>
      </c>
      <c r="I141" s="14">
        <v>8</v>
      </c>
      <c r="J141" s="15">
        <v>49724</v>
      </c>
      <c r="K141" s="27">
        <v>25557</v>
      </c>
      <c r="L141" s="12">
        <v>6868</v>
      </c>
      <c r="M141" s="12">
        <v>3000</v>
      </c>
      <c r="N141" s="12"/>
      <c r="O141" s="12"/>
      <c r="P141" s="12">
        <v>2000</v>
      </c>
      <c r="Q141" s="12">
        <v>1000</v>
      </c>
      <c r="R141" s="12"/>
      <c r="S141" s="12"/>
      <c r="T141" s="12"/>
      <c r="U141" s="12">
        <v>2220</v>
      </c>
      <c r="V141" s="16">
        <f t="shared" si="2"/>
        <v>40645</v>
      </c>
      <c r="W141" s="12">
        <v>493</v>
      </c>
      <c r="X141" s="12">
        <v>482</v>
      </c>
      <c r="Y141" s="16">
        <f>Table1[[#This Row],[LOAD K.M]]+Table1[[#This Row],[EMPTY K.M]]</f>
        <v>975</v>
      </c>
      <c r="Z141" s="16">
        <f>Table1[[#This Row],[INVOICE AMOUNT2]]-Table1[[#This Row],[Total Exp.]]</f>
        <v>9079</v>
      </c>
      <c r="AA141" s="12">
        <f>Table1[[#This Row],[Total Exp.]]/Table1[[#This Row],[Total k.m]]</f>
        <v>41.687179487179485</v>
      </c>
      <c r="AB141" s="17">
        <f>Table1[[#This Row],[Profit/loss]]/Table1[[#This Row],[Total k.m]]</f>
        <v>9.3117948717948718</v>
      </c>
      <c r="AC141" s="12">
        <f>Table1[[#This Row],[INVOICE AMOUNT2]]/Table1[[#This Row],[Total k.m]]</f>
        <v>50.998974358974358</v>
      </c>
    </row>
    <row r="142" spans="1:29" x14ac:dyDescent="0.3">
      <c r="A142" s="46">
        <v>140</v>
      </c>
      <c r="B142" s="25" t="s">
        <v>331</v>
      </c>
      <c r="C142" s="50" t="s">
        <v>63</v>
      </c>
      <c r="D142" s="10">
        <v>45955</v>
      </c>
      <c r="E142" s="11" t="s">
        <v>329</v>
      </c>
      <c r="F142" s="13" t="s">
        <v>35</v>
      </c>
      <c r="G142" s="13" t="s">
        <v>250</v>
      </c>
      <c r="H142" s="13" t="s">
        <v>330</v>
      </c>
      <c r="I142" s="14">
        <v>8</v>
      </c>
      <c r="J142" s="14">
        <v>51328</v>
      </c>
      <c r="K142" s="29">
        <v>25745</v>
      </c>
      <c r="L142" s="13">
        <v>6832</v>
      </c>
      <c r="M142" s="13">
        <v>3000</v>
      </c>
      <c r="N142" s="13"/>
      <c r="O142" s="13"/>
      <c r="P142" s="13">
        <v>2000</v>
      </c>
      <c r="Q142" s="13">
        <v>1000</v>
      </c>
      <c r="R142" s="13"/>
      <c r="S142" s="13">
        <v>200</v>
      </c>
      <c r="T142" s="13"/>
      <c r="U142" s="13">
        <v>1464</v>
      </c>
      <c r="V142" s="16">
        <f t="shared" si="2"/>
        <v>40241</v>
      </c>
      <c r="W142" s="13">
        <v>495</v>
      </c>
      <c r="X142" s="13">
        <v>488</v>
      </c>
      <c r="Y142" s="16">
        <f>Table1[[#This Row],[LOAD K.M]]+Table1[[#This Row],[EMPTY K.M]]</f>
        <v>983</v>
      </c>
      <c r="Z142" s="16">
        <f>Table1[[#This Row],[INVOICE AMOUNT2]]-Table1[[#This Row],[Total Exp.]]</f>
        <v>11087</v>
      </c>
      <c r="AA142" s="13">
        <f>Table1[[#This Row],[Total Exp.]]/Table1[[#This Row],[Total k.m]]</f>
        <v>40.936927772126147</v>
      </c>
      <c r="AB142" s="26">
        <f>Table1[[#This Row],[Profit/loss]]/Table1[[#This Row],[Total k.m]]</f>
        <v>11.278738555442523</v>
      </c>
      <c r="AC142" s="12">
        <f>Table1[[#This Row],[INVOICE AMOUNT2]]/Table1[[#This Row],[Total k.m]]</f>
        <v>52.21566632756867</v>
      </c>
    </row>
    <row r="143" spans="1:29" x14ac:dyDescent="0.3">
      <c r="A143" s="46">
        <v>141</v>
      </c>
      <c r="B143" s="25" t="s">
        <v>332</v>
      </c>
      <c r="C143" s="50" t="s">
        <v>95</v>
      </c>
      <c r="D143" s="10">
        <v>45955</v>
      </c>
      <c r="E143" s="24" t="s">
        <v>329</v>
      </c>
      <c r="F143" s="12" t="s">
        <v>35</v>
      </c>
      <c r="G143" s="12" t="s">
        <v>250</v>
      </c>
      <c r="H143" s="12" t="s">
        <v>333</v>
      </c>
      <c r="I143" s="14">
        <v>8</v>
      </c>
      <c r="J143" s="15">
        <v>45472</v>
      </c>
      <c r="K143" s="21">
        <v>21533</v>
      </c>
      <c r="L143" s="12">
        <v>6037</v>
      </c>
      <c r="M143" s="12">
        <v>3000</v>
      </c>
      <c r="N143" s="12"/>
      <c r="O143" s="12"/>
      <c r="P143" s="12">
        <v>2000</v>
      </c>
      <c r="Q143" s="12">
        <v>1000</v>
      </c>
      <c r="R143" s="12"/>
      <c r="S143" s="12">
        <v>200</v>
      </c>
      <c r="T143" s="12"/>
      <c r="U143" s="12">
        <v>2580</v>
      </c>
      <c r="V143" s="16">
        <f t="shared" si="2"/>
        <v>36350</v>
      </c>
      <c r="W143" s="12">
        <v>413</v>
      </c>
      <c r="X143" s="12">
        <v>410</v>
      </c>
      <c r="Y143" s="16">
        <f>Table1[[#This Row],[LOAD K.M]]+Table1[[#This Row],[EMPTY K.M]]</f>
        <v>823</v>
      </c>
      <c r="Z143" s="16">
        <f>Table1[[#This Row],[INVOICE AMOUNT2]]-Table1[[#This Row],[Total Exp.]]</f>
        <v>9122</v>
      </c>
      <c r="AA143" s="12">
        <f>Table1[[#This Row],[Total Exp.]]/Table1[[#This Row],[Total k.m]]</f>
        <v>44.167679222357229</v>
      </c>
      <c r="AB143" s="17">
        <f>Table1[[#This Row],[Profit/loss]]/Table1[[#This Row],[Total k.m]]</f>
        <v>11.083839611178615</v>
      </c>
      <c r="AC143" s="12">
        <f>Table1[[#This Row],[INVOICE AMOUNT2]]/Table1[[#This Row],[Total k.m]]</f>
        <v>55.251518833535847</v>
      </c>
    </row>
    <row r="144" spans="1:29" x14ac:dyDescent="0.3">
      <c r="A144" s="45">
        <v>142</v>
      </c>
      <c r="B144" s="25" t="s">
        <v>334</v>
      </c>
      <c r="C144" s="50" t="s">
        <v>93</v>
      </c>
      <c r="D144" s="10">
        <v>45955</v>
      </c>
      <c r="E144" s="24" t="s">
        <v>329</v>
      </c>
      <c r="F144" s="12" t="s">
        <v>35</v>
      </c>
      <c r="G144" s="12" t="s">
        <v>250</v>
      </c>
      <c r="H144" s="12" t="s">
        <v>330</v>
      </c>
      <c r="I144" s="14">
        <v>8</v>
      </c>
      <c r="J144" s="15">
        <v>51328</v>
      </c>
      <c r="K144" s="21">
        <v>25754</v>
      </c>
      <c r="L144" s="12">
        <v>6686</v>
      </c>
      <c r="M144" s="12">
        <v>3000</v>
      </c>
      <c r="N144" s="12"/>
      <c r="O144" s="12"/>
      <c r="P144" s="12">
        <v>2000</v>
      </c>
      <c r="Q144" s="12">
        <v>1000</v>
      </c>
      <c r="R144" s="12"/>
      <c r="S144" s="12"/>
      <c r="T144" s="12"/>
      <c r="U144" s="12">
        <v>1915</v>
      </c>
      <c r="V144" s="16">
        <f t="shared" si="2"/>
        <v>40355</v>
      </c>
      <c r="W144" s="12">
        <v>495</v>
      </c>
      <c r="X144" s="12">
        <v>485</v>
      </c>
      <c r="Y144" s="16">
        <f>Table1[[#This Row],[LOAD K.M]]+Table1[[#This Row],[EMPTY K.M]]</f>
        <v>980</v>
      </c>
      <c r="Z144" s="16">
        <f>Table1[[#This Row],[INVOICE AMOUNT2]]-Table1[[#This Row],[Total Exp.]]</f>
        <v>10973</v>
      </c>
      <c r="AA144" s="12">
        <f>Table1[[#This Row],[Total Exp.]]/Table1[[#This Row],[Total k.m]]</f>
        <v>41.178571428571431</v>
      </c>
      <c r="AB144" s="17">
        <f>Table1[[#This Row],[Profit/loss]]/Table1[[#This Row],[Total k.m]]</f>
        <v>11.196938775510205</v>
      </c>
      <c r="AC144" s="12">
        <f>Table1[[#This Row],[INVOICE AMOUNT2]]/Table1[[#This Row],[Total k.m]]</f>
        <v>52.375510204081635</v>
      </c>
    </row>
    <row r="145" spans="1:29" x14ac:dyDescent="0.3">
      <c r="A145" s="46">
        <v>143</v>
      </c>
      <c r="B145" s="25" t="s">
        <v>335</v>
      </c>
      <c r="C145" s="12" t="s">
        <v>84</v>
      </c>
      <c r="D145" s="10">
        <v>45955</v>
      </c>
      <c r="E145" s="24" t="s">
        <v>329</v>
      </c>
      <c r="F145" s="12" t="s">
        <v>35</v>
      </c>
      <c r="G145" s="12" t="s">
        <v>250</v>
      </c>
      <c r="H145" s="12" t="s">
        <v>323</v>
      </c>
      <c r="I145" s="14">
        <v>8</v>
      </c>
      <c r="J145" s="15">
        <v>34104</v>
      </c>
      <c r="K145" s="21">
        <v>21818</v>
      </c>
      <c r="L145" s="12">
        <v>8885</v>
      </c>
      <c r="M145" s="12">
        <v>3000</v>
      </c>
      <c r="N145" s="12"/>
      <c r="O145" s="12"/>
      <c r="P145" s="12">
        <v>2000</v>
      </c>
      <c r="Q145" s="12">
        <v>1000</v>
      </c>
      <c r="R145" s="12"/>
      <c r="S145" s="12">
        <v>200</v>
      </c>
      <c r="T145" s="12"/>
      <c r="U145" s="12"/>
      <c r="V145" s="16">
        <f t="shared" si="2"/>
        <v>36903</v>
      </c>
      <c r="W145" s="12">
        <v>419</v>
      </c>
      <c r="X145" s="12">
        <v>412</v>
      </c>
      <c r="Y145" s="16">
        <f>Table1[[#This Row],[LOAD K.M]]+Table1[[#This Row],[EMPTY K.M]]</f>
        <v>831</v>
      </c>
      <c r="Z145" s="16">
        <f>Table1[[#This Row],[INVOICE AMOUNT2]]-Table1[[#This Row],[Total Exp.]]</f>
        <v>-2799</v>
      </c>
      <c r="AA145" s="12">
        <f>Table1[[#This Row],[Total Exp.]]/Table1[[#This Row],[Total k.m]]</f>
        <v>44.407942238267147</v>
      </c>
      <c r="AB145" s="17">
        <f>Table1[[#This Row],[Profit/loss]]/Table1[[#This Row],[Total k.m]]</f>
        <v>-3.3682310469314078</v>
      </c>
      <c r="AC145" s="12">
        <f>Table1[[#This Row],[INVOICE AMOUNT2]]/Table1[[#This Row],[Total k.m]]</f>
        <v>41.039711191335741</v>
      </c>
    </row>
    <row r="146" spans="1:29" x14ac:dyDescent="0.3">
      <c r="A146" s="45">
        <v>144</v>
      </c>
      <c r="B146" s="25" t="s">
        <v>336</v>
      </c>
      <c r="C146" s="13" t="s">
        <v>69</v>
      </c>
      <c r="D146" s="10">
        <v>45955</v>
      </c>
      <c r="E146" s="11" t="s">
        <v>337</v>
      </c>
      <c r="F146" s="13" t="s">
        <v>35</v>
      </c>
      <c r="G146" s="13" t="s">
        <v>250</v>
      </c>
      <c r="H146" s="13" t="s">
        <v>338</v>
      </c>
      <c r="I146" s="14">
        <v>8</v>
      </c>
      <c r="J146" s="15">
        <v>125496</v>
      </c>
      <c r="K146" s="27">
        <v>51687</v>
      </c>
      <c r="L146" s="12">
        <v>20106</v>
      </c>
      <c r="M146" s="12">
        <v>3500</v>
      </c>
      <c r="N146" s="12"/>
      <c r="O146" s="12"/>
      <c r="P146" s="12">
        <v>2000</v>
      </c>
      <c r="Q146" s="12">
        <v>1000</v>
      </c>
      <c r="R146" s="12"/>
      <c r="S146" s="12"/>
      <c r="T146" s="12"/>
      <c r="U146" s="12"/>
      <c r="V146" s="16">
        <f t="shared" si="2"/>
        <v>78293</v>
      </c>
      <c r="W146" s="12">
        <v>1036</v>
      </c>
      <c r="X146" s="12">
        <v>915</v>
      </c>
      <c r="Y146" s="16">
        <f>Table1[[#This Row],[LOAD K.M]]+Table1[[#This Row],[EMPTY K.M]]</f>
        <v>1951</v>
      </c>
      <c r="Z146" s="16">
        <f>Table1[[#This Row],[INVOICE AMOUNT2]]-Table1[[#This Row],[Total Exp.]]</f>
        <v>47203</v>
      </c>
      <c r="AA146" s="12">
        <f>Table1[[#This Row],[Total Exp.]]/Table1[[#This Row],[Total k.m]]</f>
        <v>40.129677088672473</v>
      </c>
      <c r="AB146" s="17">
        <f>Table1[[#This Row],[Profit/loss]]/Table1[[#This Row],[Total k.m]]</f>
        <v>24.194259354177344</v>
      </c>
      <c r="AC146" s="12">
        <f>Table1[[#This Row],[INVOICE AMOUNT2]]/Table1[[#This Row],[Total k.m]]</f>
        <v>64.323936442849828</v>
      </c>
    </row>
    <row r="147" spans="1:29" x14ac:dyDescent="0.3">
      <c r="A147" s="46">
        <v>145</v>
      </c>
      <c r="B147" s="25" t="s">
        <v>339</v>
      </c>
      <c r="C147" s="12" t="s">
        <v>105</v>
      </c>
      <c r="D147" s="10">
        <v>45955</v>
      </c>
      <c r="E147" s="24" t="s">
        <v>337</v>
      </c>
      <c r="F147" s="12" t="s">
        <v>35</v>
      </c>
      <c r="G147" s="12" t="s">
        <v>250</v>
      </c>
      <c r="H147" s="12" t="s">
        <v>340</v>
      </c>
      <c r="I147" s="14">
        <v>8</v>
      </c>
      <c r="J147" s="15">
        <v>79404</v>
      </c>
      <c r="K147" s="12">
        <v>27157</v>
      </c>
      <c r="L147" s="12">
        <v>9302</v>
      </c>
      <c r="M147" s="12">
        <v>4500</v>
      </c>
      <c r="N147" s="12"/>
      <c r="O147" s="12"/>
      <c r="P147" s="12">
        <v>2000</v>
      </c>
      <c r="Q147" s="12">
        <v>1000</v>
      </c>
      <c r="R147" s="12"/>
      <c r="S147" s="12"/>
      <c r="T147" s="12"/>
      <c r="U147" s="12"/>
      <c r="V147" s="16">
        <f t="shared" si="2"/>
        <v>43959</v>
      </c>
      <c r="W147" s="12">
        <v>515</v>
      </c>
      <c r="X147" s="12">
        <v>520</v>
      </c>
      <c r="Y147" s="16">
        <f>Table1[[#This Row],[LOAD K.M]]+Table1[[#This Row],[EMPTY K.M]]</f>
        <v>1035</v>
      </c>
      <c r="Z147" s="16">
        <f>Table1[[#This Row],[INVOICE AMOUNT2]]-Table1[[#This Row],[Total Exp.]]</f>
        <v>35445</v>
      </c>
      <c r="AA147" s="12">
        <f>Table1[[#This Row],[Total Exp.]]/Table1[[#This Row],[Total k.m]]</f>
        <v>42.472463768115944</v>
      </c>
      <c r="AB147" s="17">
        <f>Table1[[#This Row],[Profit/loss]]/Table1[[#This Row],[Total k.m]]</f>
        <v>34.246376811594203</v>
      </c>
      <c r="AC147" s="12">
        <f>Table1[[#This Row],[INVOICE AMOUNT2]]/Table1[[#This Row],[Total k.m]]</f>
        <v>76.718840579710147</v>
      </c>
    </row>
    <row r="148" spans="1:29" x14ac:dyDescent="0.3">
      <c r="A148" s="46">
        <v>146</v>
      </c>
      <c r="B148" s="25" t="s">
        <v>341</v>
      </c>
      <c r="C148" s="12" t="s">
        <v>75</v>
      </c>
      <c r="D148" s="10">
        <v>45955</v>
      </c>
      <c r="E148" s="24" t="s">
        <v>337</v>
      </c>
      <c r="F148" s="12" t="s">
        <v>65</v>
      </c>
      <c r="G148" s="12" t="s">
        <v>66</v>
      </c>
      <c r="H148" s="12" t="s">
        <v>342</v>
      </c>
      <c r="I148" s="14">
        <v>8</v>
      </c>
      <c r="J148" s="15">
        <v>90736</v>
      </c>
      <c r="K148" s="21">
        <v>36902</v>
      </c>
      <c r="L148" s="12">
        <v>11593</v>
      </c>
      <c r="M148" s="12">
        <v>4500</v>
      </c>
      <c r="N148" s="12"/>
      <c r="O148" s="12"/>
      <c r="P148" s="12">
        <v>2000</v>
      </c>
      <c r="Q148" s="12">
        <v>1000</v>
      </c>
      <c r="R148" s="12"/>
      <c r="S148" s="12">
        <v>150</v>
      </c>
      <c r="T148" s="12"/>
      <c r="U148" s="12">
        <v>1320</v>
      </c>
      <c r="V148" s="16">
        <f t="shared" si="2"/>
        <v>57465</v>
      </c>
      <c r="W148" s="12">
        <v>1021</v>
      </c>
      <c r="X148" s="12">
        <v>328</v>
      </c>
      <c r="Y148" s="16">
        <f>Table1[[#This Row],[LOAD K.M]]+Table1[[#This Row],[EMPTY K.M]]</f>
        <v>1349</v>
      </c>
      <c r="Z148" s="16">
        <f>Table1[[#This Row],[INVOICE AMOUNT2]]-Table1[[#This Row],[Total Exp.]]</f>
        <v>33271</v>
      </c>
      <c r="AA148" s="12">
        <f>Table1[[#This Row],[Total Exp.]]/Table1[[#This Row],[Total k.m]]</f>
        <v>42.598220904373612</v>
      </c>
      <c r="AB148" s="17">
        <f>Table1[[#This Row],[Profit/loss]]/Table1[[#This Row],[Total k.m]]</f>
        <v>24.663454410674575</v>
      </c>
      <c r="AC148" s="12">
        <f>Table1[[#This Row],[INVOICE AMOUNT2]]/Table1[[#This Row],[Total k.m]]</f>
        <v>67.26167531504818</v>
      </c>
    </row>
    <row r="149" spans="1:29" x14ac:dyDescent="0.3">
      <c r="A149" s="45">
        <v>147</v>
      </c>
      <c r="B149" s="25" t="s">
        <v>343</v>
      </c>
      <c r="C149" s="12" t="s">
        <v>102</v>
      </c>
      <c r="D149" s="10">
        <v>45955</v>
      </c>
      <c r="E149" s="24" t="s">
        <v>337</v>
      </c>
      <c r="F149" s="12" t="s">
        <v>65</v>
      </c>
      <c r="G149" s="12" t="s">
        <v>66</v>
      </c>
      <c r="H149" s="12" t="s">
        <v>344</v>
      </c>
      <c r="I149" s="14">
        <v>8</v>
      </c>
      <c r="J149" s="15">
        <v>143432</v>
      </c>
      <c r="K149" s="21">
        <v>57855</v>
      </c>
      <c r="L149" s="12">
        <v>17431</v>
      </c>
      <c r="M149" s="12">
        <v>6000</v>
      </c>
      <c r="N149" s="12"/>
      <c r="O149" s="12"/>
      <c r="P149" s="12">
        <v>2000</v>
      </c>
      <c r="Q149" s="12">
        <v>1000</v>
      </c>
      <c r="R149" s="12"/>
      <c r="S149" s="12">
        <v>150</v>
      </c>
      <c r="T149" s="12"/>
      <c r="U149" s="12">
        <v>1320</v>
      </c>
      <c r="V149" s="16">
        <f t="shared" si="2"/>
        <v>85756</v>
      </c>
      <c r="W149" s="12">
        <v>1751</v>
      </c>
      <c r="X149" s="12">
        <v>349</v>
      </c>
      <c r="Y149" s="16">
        <f>Table1[[#This Row],[LOAD K.M]]+Table1[[#This Row],[EMPTY K.M]]</f>
        <v>2100</v>
      </c>
      <c r="Z149" s="16">
        <f>Table1[[#This Row],[INVOICE AMOUNT2]]-Table1[[#This Row],[Total Exp.]]</f>
        <v>57676</v>
      </c>
      <c r="AA149" s="12">
        <f>Table1[[#This Row],[Total Exp.]]/Table1[[#This Row],[Total k.m]]</f>
        <v>40.836190476190474</v>
      </c>
      <c r="AB149" s="17">
        <f>Table1[[#This Row],[Profit/loss]]/Table1[[#This Row],[Total k.m]]</f>
        <v>27.464761904761904</v>
      </c>
      <c r="AC149" s="12">
        <f>Table1[[#This Row],[INVOICE AMOUNT2]]/Table1[[#This Row],[Total k.m]]</f>
        <v>68.300952380952381</v>
      </c>
    </row>
    <row r="150" spans="1:29" x14ac:dyDescent="0.3">
      <c r="A150" s="46">
        <v>148</v>
      </c>
      <c r="B150" s="25" t="s">
        <v>345</v>
      </c>
      <c r="C150" s="12" t="s">
        <v>72</v>
      </c>
      <c r="D150" s="10">
        <v>45955</v>
      </c>
      <c r="E150" s="24" t="s">
        <v>337</v>
      </c>
      <c r="F150" s="12" t="s">
        <v>65</v>
      </c>
      <c r="G150" s="12" t="s">
        <v>66</v>
      </c>
      <c r="H150" s="12" t="s">
        <v>36</v>
      </c>
      <c r="I150" s="14">
        <v>8</v>
      </c>
      <c r="J150" s="15">
        <v>94350</v>
      </c>
      <c r="K150" s="21">
        <v>35849</v>
      </c>
      <c r="L150" s="12">
        <v>10738</v>
      </c>
      <c r="M150" s="12">
        <v>4500</v>
      </c>
      <c r="N150" s="12"/>
      <c r="O150" s="12"/>
      <c r="P150" s="12">
        <v>2000</v>
      </c>
      <c r="Q150" s="12">
        <v>1000</v>
      </c>
      <c r="R150" s="12"/>
      <c r="S150" s="12">
        <v>150</v>
      </c>
      <c r="T150" s="12">
        <v>1320</v>
      </c>
      <c r="U150" s="12"/>
      <c r="V150" s="16">
        <f t="shared" si="2"/>
        <v>55557</v>
      </c>
      <c r="W150" s="12">
        <v>1218</v>
      </c>
      <c r="X150" s="12">
        <v>69</v>
      </c>
      <c r="Y150" s="16">
        <f>Table1[[#This Row],[LOAD K.M]]+Table1[[#This Row],[EMPTY K.M]]</f>
        <v>1287</v>
      </c>
      <c r="Z150" s="16">
        <f>Table1[[#This Row],[INVOICE AMOUNT2]]-Table1[[#This Row],[Total Exp.]]</f>
        <v>38793</v>
      </c>
      <c r="AA150" s="12">
        <f>Table1[[#This Row],[Total Exp.]]/Table1[[#This Row],[Total k.m]]</f>
        <v>43.167832167832167</v>
      </c>
      <c r="AB150" s="17">
        <f>Table1[[#This Row],[Profit/loss]]/Table1[[#This Row],[Total k.m]]</f>
        <v>30.142191142191141</v>
      </c>
      <c r="AC150" s="12">
        <f>Table1[[#This Row],[INVOICE AMOUNT2]]/Table1[[#This Row],[Total k.m]]</f>
        <v>73.310023310023311</v>
      </c>
    </row>
    <row r="151" spans="1:29" x14ac:dyDescent="0.3">
      <c r="A151" s="46">
        <v>149</v>
      </c>
      <c r="B151" s="25" t="s">
        <v>346</v>
      </c>
      <c r="C151" s="12" t="s">
        <v>59</v>
      </c>
      <c r="D151" s="10">
        <v>45955</v>
      </c>
      <c r="E151" s="24" t="s">
        <v>337</v>
      </c>
      <c r="F151" s="12" t="s">
        <v>65</v>
      </c>
      <c r="G151" s="12" t="s">
        <v>66</v>
      </c>
      <c r="H151" s="12" t="s">
        <v>36</v>
      </c>
      <c r="I151" s="14">
        <v>8</v>
      </c>
      <c r="J151" s="15">
        <v>94350</v>
      </c>
      <c r="K151" s="21">
        <v>38570</v>
      </c>
      <c r="L151" s="12">
        <v>11893</v>
      </c>
      <c r="M151" s="12">
        <v>4500</v>
      </c>
      <c r="N151" s="12"/>
      <c r="O151" s="12"/>
      <c r="P151" s="12">
        <v>2000</v>
      </c>
      <c r="Q151" s="12">
        <v>1000</v>
      </c>
      <c r="R151" s="12"/>
      <c r="S151" s="12">
        <v>150</v>
      </c>
      <c r="T151" s="12"/>
      <c r="U151" s="12"/>
      <c r="V151" s="16">
        <f t="shared" si="2"/>
        <v>58113</v>
      </c>
      <c r="W151" s="12">
        <v>1321</v>
      </c>
      <c r="X151" s="12">
        <v>68</v>
      </c>
      <c r="Y151" s="16">
        <f>Table1[[#This Row],[LOAD K.M]]+Table1[[#This Row],[EMPTY K.M]]</f>
        <v>1389</v>
      </c>
      <c r="Z151" s="16">
        <f>Table1[[#This Row],[INVOICE AMOUNT2]]-Table1[[#This Row],[Total Exp.]]</f>
        <v>36237</v>
      </c>
      <c r="AA151" s="12">
        <f>Table1[[#This Row],[Total Exp.]]/Table1[[#This Row],[Total k.m]]</f>
        <v>41.838012958963283</v>
      </c>
      <c r="AB151" s="17">
        <f>Table1[[#This Row],[Profit/loss]]/Table1[[#This Row],[Total k.m]]</f>
        <v>26.088552915766737</v>
      </c>
      <c r="AC151" s="12">
        <f>Table1[[#This Row],[INVOICE AMOUNT2]]/Table1[[#This Row],[Total k.m]]</f>
        <v>67.926565874730017</v>
      </c>
    </row>
    <row r="152" spans="1:29" x14ac:dyDescent="0.3">
      <c r="A152" s="45">
        <v>150</v>
      </c>
      <c r="B152" s="25" t="s">
        <v>347</v>
      </c>
      <c r="C152" s="12" t="s">
        <v>77</v>
      </c>
      <c r="D152" s="10">
        <v>45955</v>
      </c>
      <c r="E152" s="24" t="s">
        <v>348</v>
      </c>
      <c r="F152" s="12" t="s">
        <v>65</v>
      </c>
      <c r="G152" s="12" t="s">
        <v>66</v>
      </c>
      <c r="H152" s="12" t="s">
        <v>226</v>
      </c>
      <c r="I152" s="14">
        <v>8</v>
      </c>
      <c r="J152" s="15">
        <v>153346</v>
      </c>
      <c r="K152" s="21">
        <v>59964</v>
      </c>
      <c r="L152" s="12">
        <v>20674</v>
      </c>
      <c r="M152" s="12">
        <v>9500</v>
      </c>
      <c r="N152" s="12"/>
      <c r="O152" s="12"/>
      <c r="P152" s="12">
        <v>2000</v>
      </c>
      <c r="Q152" s="12">
        <v>1000</v>
      </c>
      <c r="R152" s="12"/>
      <c r="S152" s="12">
        <v>150</v>
      </c>
      <c r="T152" s="12"/>
      <c r="U152" s="12">
        <v>1320</v>
      </c>
      <c r="V152" s="16">
        <f t="shared" si="2"/>
        <v>94608</v>
      </c>
      <c r="W152" s="12">
        <v>1752</v>
      </c>
      <c r="X152" s="12">
        <v>437</v>
      </c>
      <c r="Y152" s="16">
        <f>Table1[[#This Row],[LOAD K.M]]+Table1[[#This Row],[EMPTY K.M]]</f>
        <v>2189</v>
      </c>
      <c r="Z152" s="16">
        <f>Table1[[#This Row],[INVOICE AMOUNT2]]-Table1[[#This Row],[Total Exp.]]</f>
        <v>58738</v>
      </c>
      <c r="AA152" s="12">
        <f>Table1[[#This Row],[Total Exp.]]/Table1[[#This Row],[Total k.m]]</f>
        <v>43.219735038830514</v>
      </c>
      <c r="AB152" s="17">
        <f>Table1[[#This Row],[Profit/loss]]/Table1[[#This Row],[Total k.m]]</f>
        <v>26.833257195066242</v>
      </c>
      <c r="AC152" s="12">
        <f>Table1[[#This Row],[INVOICE AMOUNT2]]/Table1[[#This Row],[Total k.m]]</f>
        <v>70.052992233896759</v>
      </c>
    </row>
    <row r="153" spans="1:29" x14ac:dyDescent="0.3">
      <c r="A153" s="46">
        <v>151</v>
      </c>
      <c r="B153" s="25" t="s">
        <v>349</v>
      </c>
      <c r="C153" s="12" t="s">
        <v>34</v>
      </c>
      <c r="D153" s="10">
        <v>45955</v>
      </c>
      <c r="E153" s="24" t="s">
        <v>348</v>
      </c>
      <c r="F153" s="12" t="s">
        <v>35</v>
      </c>
      <c r="G153" s="12" t="s">
        <v>36</v>
      </c>
      <c r="H153" s="12" t="s">
        <v>330</v>
      </c>
      <c r="I153" s="14">
        <v>8</v>
      </c>
      <c r="J153" s="15">
        <v>118416</v>
      </c>
      <c r="K153" s="21">
        <v>36990</v>
      </c>
      <c r="L153" s="12">
        <v>13607</v>
      </c>
      <c r="M153" s="12">
        <v>6500</v>
      </c>
      <c r="N153" s="12"/>
      <c r="O153" s="12"/>
      <c r="P153" s="12">
        <v>2000</v>
      </c>
      <c r="Q153" s="12">
        <v>1000</v>
      </c>
      <c r="R153" s="12"/>
      <c r="S153" s="12">
        <v>250</v>
      </c>
      <c r="T153" s="12"/>
      <c r="U153" s="12">
        <v>1000</v>
      </c>
      <c r="V153" s="16">
        <f t="shared" si="2"/>
        <v>61347</v>
      </c>
      <c r="W153" s="12">
        <v>966</v>
      </c>
      <c r="X153" s="12">
        <v>417</v>
      </c>
      <c r="Y153" s="16">
        <f>Table1[[#This Row],[LOAD K.M]]+Table1[[#This Row],[EMPTY K.M]]</f>
        <v>1383</v>
      </c>
      <c r="Z153" s="16">
        <f>Table1[[#This Row],[INVOICE AMOUNT2]]-Table1[[#This Row],[Total Exp.]]</f>
        <v>57069</v>
      </c>
      <c r="AA153" s="12">
        <f>Table1[[#This Row],[Total Exp.]]/Table1[[#This Row],[Total k.m]]</f>
        <v>44.357917570498913</v>
      </c>
      <c r="AB153" s="17">
        <f>Table1[[#This Row],[Profit/loss]]/Table1[[#This Row],[Total k.m]]</f>
        <v>41.264642082429503</v>
      </c>
      <c r="AC153" s="12">
        <f>Table1[[#This Row],[INVOICE AMOUNT2]]/Table1[[#This Row],[Total k.m]]</f>
        <v>85.622559652928416</v>
      </c>
    </row>
    <row r="154" spans="1:29" x14ac:dyDescent="0.3">
      <c r="A154" s="46">
        <v>152</v>
      </c>
      <c r="B154" s="25" t="s">
        <v>350</v>
      </c>
      <c r="C154" s="12" t="s">
        <v>134</v>
      </c>
      <c r="D154" s="10">
        <v>45955</v>
      </c>
      <c r="E154" s="24" t="s">
        <v>348</v>
      </c>
      <c r="F154" s="12" t="s">
        <v>35</v>
      </c>
      <c r="G154" s="12" t="s">
        <v>36</v>
      </c>
      <c r="H154" s="12" t="s">
        <v>330</v>
      </c>
      <c r="I154" s="14">
        <v>7</v>
      </c>
      <c r="J154" s="15">
        <v>108920</v>
      </c>
      <c r="K154" s="21">
        <v>36510</v>
      </c>
      <c r="L154" s="12">
        <v>13012</v>
      </c>
      <c r="M154" s="12">
        <v>6500</v>
      </c>
      <c r="N154" s="12"/>
      <c r="O154" s="12">
        <v>150</v>
      </c>
      <c r="P154" s="12">
        <v>2000</v>
      </c>
      <c r="Q154" s="12">
        <v>1000</v>
      </c>
      <c r="R154" s="12"/>
      <c r="S154" s="12">
        <v>400</v>
      </c>
      <c r="T154" s="12"/>
      <c r="U154" s="12">
        <v>1000</v>
      </c>
      <c r="V154" s="16">
        <f t="shared" si="2"/>
        <v>60572</v>
      </c>
      <c r="W154" s="12">
        <v>962</v>
      </c>
      <c r="X154" s="12">
        <v>406</v>
      </c>
      <c r="Y154" s="16">
        <f>Table1[[#This Row],[LOAD K.M]]+Table1[[#This Row],[EMPTY K.M]]</f>
        <v>1368</v>
      </c>
      <c r="Z154" s="16">
        <f>Table1[[#This Row],[INVOICE AMOUNT2]]-Table1[[#This Row],[Total Exp.]]</f>
        <v>48348</v>
      </c>
      <c r="AA154" s="12">
        <f>Table1[[#This Row],[Total Exp.]]/Table1[[#This Row],[Total k.m]]</f>
        <v>44.277777777777779</v>
      </c>
      <c r="AB154" s="17">
        <f>Table1[[#This Row],[Profit/loss]]/Table1[[#This Row],[Total k.m]]</f>
        <v>35.342105263157897</v>
      </c>
      <c r="AC154" s="12">
        <f>Table1[[#This Row],[INVOICE AMOUNT2]]/Table1[[#This Row],[Total k.m]]</f>
        <v>79.619883040935676</v>
      </c>
    </row>
    <row r="155" spans="1:29" x14ac:dyDescent="0.3">
      <c r="A155" s="45">
        <v>153</v>
      </c>
      <c r="B155" s="25" t="s">
        <v>351</v>
      </c>
      <c r="C155" s="12" t="s">
        <v>84</v>
      </c>
      <c r="D155" s="10">
        <v>45955</v>
      </c>
      <c r="E155" s="24" t="s">
        <v>348</v>
      </c>
      <c r="F155" s="12" t="s">
        <v>35</v>
      </c>
      <c r="G155" s="12" t="s">
        <v>250</v>
      </c>
      <c r="H155" s="12" t="s">
        <v>352</v>
      </c>
      <c r="I155" s="14">
        <v>8</v>
      </c>
      <c r="J155" s="15">
        <v>79424</v>
      </c>
      <c r="K155" s="21">
        <v>23330</v>
      </c>
      <c r="L155" s="12">
        <v>7482</v>
      </c>
      <c r="M155" s="12">
        <v>1500</v>
      </c>
      <c r="N155" s="12"/>
      <c r="O155" s="12"/>
      <c r="P155" s="12">
        <v>2000</v>
      </c>
      <c r="Q155" s="12">
        <v>1000</v>
      </c>
      <c r="R155" s="12"/>
      <c r="S155" s="12">
        <v>200</v>
      </c>
      <c r="T155" s="12"/>
      <c r="U155" s="12"/>
      <c r="V155" s="16">
        <f t="shared" si="2"/>
        <v>35512</v>
      </c>
      <c r="W155" s="12">
        <v>775</v>
      </c>
      <c r="X155" s="12">
        <v>86</v>
      </c>
      <c r="Y155" s="16">
        <f>Table1[[#This Row],[LOAD K.M]]+Table1[[#This Row],[EMPTY K.M]]</f>
        <v>861</v>
      </c>
      <c r="Z155" s="16">
        <f>Table1[[#This Row],[INVOICE AMOUNT2]]-Table1[[#This Row],[Total Exp.]]</f>
        <v>43912</v>
      </c>
      <c r="AA155" s="12">
        <f>Table1[[#This Row],[Total Exp.]]/Table1[[#This Row],[Total k.m]]</f>
        <v>41.245063879210221</v>
      </c>
      <c r="AB155" s="17">
        <f>Table1[[#This Row],[Profit/loss]]/Table1[[#This Row],[Total k.m]]</f>
        <v>51.001161440185832</v>
      </c>
      <c r="AC155" s="12">
        <f>Table1[[#This Row],[INVOICE AMOUNT2]]/Table1[[#This Row],[Total k.m]]</f>
        <v>92.246225319396046</v>
      </c>
    </row>
    <row r="156" spans="1:29" x14ac:dyDescent="0.3">
      <c r="A156" s="46">
        <v>154</v>
      </c>
      <c r="B156" s="25" t="s">
        <v>353</v>
      </c>
      <c r="C156" s="12" t="s">
        <v>87</v>
      </c>
      <c r="D156" s="10">
        <v>45955</v>
      </c>
      <c r="E156" s="24" t="s">
        <v>348</v>
      </c>
      <c r="F156" s="12" t="s">
        <v>35</v>
      </c>
      <c r="G156" s="12" t="s">
        <v>250</v>
      </c>
      <c r="H156" s="12" t="s">
        <v>243</v>
      </c>
      <c r="I156" s="14">
        <v>8</v>
      </c>
      <c r="J156" s="15">
        <v>74256</v>
      </c>
      <c r="K156" s="27">
        <v>38178</v>
      </c>
      <c r="L156" s="12">
        <v>10753</v>
      </c>
      <c r="M156" s="12">
        <v>500</v>
      </c>
      <c r="N156" s="12"/>
      <c r="O156" s="12"/>
      <c r="P156" s="12">
        <v>2000</v>
      </c>
      <c r="Q156" s="12">
        <v>1000</v>
      </c>
      <c r="R156" s="12"/>
      <c r="S156" s="12">
        <v>200</v>
      </c>
      <c r="T156" s="12">
        <v>2400</v>
      </c>
      <c r="U156" s="12"/>
      <c r="V156" s="16">
        <f t="shared" si="2"/>
        <v>55031</v>
      </c>
      <c r="W156" s="12">
        <v>731</v>
      </c>
      <c r="X156" s="12">
        <v>721</v>
      </c>
      <c r="Y156" s="16">
        <f>Table1[[#This Row],[LOAD K.M]]+Table1[[#This Row],[EMPTY K.M]]</f>
        <v>1452</v>
      </c>
      <c r="Z156" s="16">
        <f>Table1[[#This Row],[INVOICE AMOUNT2]]-Table1[[#This Row],[Total Exp.]]</f>
        <v>19225</v>
      </c>
      <c r="AA156" s="12">
        <f>Table1[[#This Row],[Total Exp.]]/Table1[[#This Row],[Total k.m]]</f>
        <v>37.900137741046834</v>
      </c>
      <c r="AB156" s="17">
        <f>Table1[[#This Row],[Profit/loss]]/Table1[[#This Row],[Total k.m]]</f>
        <v>13.240358126721762</v>
      </c>
      <c r="AC156" s="12">
        <f>Table1[[#This Row],[INVOICE AMOUNT2]]/Table1[[#This Row],[Total k.m]]</f>
        <v>51.140495867768593</v>
      </c>
    </row>
    <row r="157" spans="1:29" x14ac:dyDescent="0.3">
      <c r="A157" s="46">
        <v>155</v>
      </c>
      <c r="B157" s="25" t="s">
        <v>354</v>
      </c>
      <c r="C157" s="12" t="s">
        <v>93</v>
      </c>
      <c r="D157" s="10">
        <v>45955</v>
      </c>
      <c r="E157" s="24" t="s">
        <v>348</v>
      </c>
      <c r="F157" s="12" t="s">
        <v>35</v>
      </c>
      <c r="G157" s="12" t="s">
        <v>250</v>
      </c>
      <c r="H157" s="12" t="s">
        <v>355</v>
      </c>
      <c r="I157" s="14">
        <v>8</v>
      </c>
      <c r="J157" s="15">
        <v>54835</v>
      </c>
      <c r="K157" s="21">
        <v>32061</v>
      </c>
      <c r="L157" s="47">
        <v>7983</v>
      </c>
      <c r="M157" s="12">
        <v>3000</v>
      </c>
      <c r="N157" s="12"/>
      <c r="O157" s="12"/>
      <c r="P157" s="12">
        <v>2000</v>
      </c>
      <c r="Q157" s="12">
        <v>1000</v>
      </c>
      <c r="R157" s="12"/>
      <c r="S157" s="12">
        <v>200</v>
      </c>
      <c r="T157" s="12"/>
      <c r="U157" s="12"/>
      <c r="V157" s="16">
        <f t="shared" si="2"/>
        <v>46244</v>
      </c>
      <c r="W157" s="12">
        <v>600</v>
      </c>
      <c r="X157" s="12">
        <v>625</v>
      </c>
      <c r="Y157" s="16">
        <f>Table1[[#This Row],[LOAD K.M]]+Table1[[#This Row],[EMPTY K.M]]</f>
        <v>1225</v>
      </c>
      <c r="Z157" s="16">
        <f>Table1[[#This Row],[INVOICE AMOUNT2]]-Table1[[#This Row],[Total Exp.]]</f>
        <v>8591</v>
      </c>
      <c r="AA157" s="12">
        <f>Table1[[#This Row],[Total Exp.]]/Table1[[#This Row],[Total k.m]]</f>
        <v>37.750204081632653</v>
      </c>
      <c r="AB157" s="17">
        <f>Table1[[#This Row],[Profit/loss]]/Table1[[#This Row],[Total k.m]]</f>
        <v>7.0130612244897961</v>
      </c>
      <c r="AC157" s="12">
        <f>Table1[[#This Row],[INVOICE AMOUNT2]]/Table1[[#This Row],[Total k.m]]</f>
        <v>44.763265306122449</v>
      </c>
    </row>
    <row r="158" spans="1:29" x14ac:dyDescent="0.3">
      <c r="A158" s="45">
        <v>156</v>
      </c>
      <c r="B158" s="25" t="s">
        <v>356</v>
      </c>
      <c r="C158" s="12" t="s">
        <v>29</v>
      </c>
      <c r="D158" s="10">
        <v>45955</v>
      </c>
      <c r="E158" s="24" t="s">
        <v>348</v>
      </c>
      <c r="F158" s="12" t="s">
        <v>35</v>
      </c>
      <c r="G158" s="12" t="s">
        <v>250</v>
      </c>
      <c r="H158" s="12" t="s">
        <v>330</v>
      </c>
      <c r="I158" s="14">
        <v>8</v>
      </c>
      <c r="J158" s="15">
        <v>47964</v>
      </c>
      <c r="K158" s="21">
        <v>25596</v>
      </c>
      <c r="L158" s="12">
        <v>5308</v>
      </c>
      <c r="M158" s="12">
        <v>3000</v>
      </c>
      <c r="N158" s="12"/>
      <c r="O158" s="12"/>
      <c r="P158" s="12">
        <v>2000</v>
      </c>
      <c r="Q158" s="12">
        <v>1000</v>
      </c>
      <c r="R158" s="12"/>
      <c r="S158" s="12"/>
      <c r="T158" s="12"/>
      <c r="U158" s="12">
        <v>2640</v>
      </c>
      <c r="V158" s="16">
        <f t="shared" si="2"/>
        <v>39544</v>
      </c>
      <c r="W158" s="12">
        <v>602</v>
      </c>
      <c r="X158" s="12">
        <v>364</v>
      </c>
      <c r="Y158" s="16">
        <f>Table1[[#This Row],[LOAD K.M]]+Table1[[#This Row],[EMPTY K.M]]</f>
        <v>966</v>
      </c>
      <c r="Z158" s="16">
        <f>Table1[[#This Row],[INVOICE AMOUNT2]]-Table1[[#This Row],[Total Exp.]]</f>
        <v>8420</v>
      </c>
      <c r="AA158" s="12">
        <f>Table1[[#This Row],[Total Exp.]]/Table1[[#This Row],[Total k.m]]</f>
        <v>40.935817805383024</v>
      </c>
      <c r="AB158" s="17">
        <f>Table1[[#This Row],[Profit/loss]]/Table1[[#This Row],[Total k.m]]</f>
        <v>8.7163561076604559</v>
      </c>
      <c r="AC158" s="12">
        <f>Table1[[#This Row],[INVOICE AMOUNT2]]/Table1[[#This Row],[Total k.m]]</f>
        <v>49.652173913043477</v>
      </c>
    </row>
    <row r="159" spans="1:29" x14ac:dyDescent="0.3">
      <c r="A159" s="51">
        <v>157</v>
      </c>
      <c r="B159" s="52" t="s">
        <v>357</v>
      </c>
      <c r="C159" s="53" t="s">
        <v>95</v>
      </c>
      <c r="D159" s="10">
        <v>45955</v>
      </c>
      <c r="E159" s="24" t="s">
        <v>348</v>
      </c>
      <c r="F159" s="12" t="s">
        <v>35</v>
      </c>
      <c r="G159" s="12" t="s">
        <v>250</v>
      </c>
      <c r="H159" s="53" t="s">
        <v>352</v>
      </c>
      <c r="I159" s="14">
        <v>8</v>
      </c>
      <c r="J159" s="15">
        <v>69406</v>
      </c>
      <c r="K159" s="53">
        <v>25900</v>
      </c>
      <c r="L159" s="53">
        <v>8232</v>
      </c>
      <c r="M159" s="53">
        <v>1500</v>
      </c>
      <c r="N159" s="53"/>
      <c r="O159" s="53"/>
      <c r="P159" s="53">
        <v>2000</v>
      </c>
      <c r="Q159" s="53">
        <v>1000</v>
      </c>
      <c r="R159" s="53"/>
      <c r="S159" s="53">
        <v>400</v>
      </c>
      <c r="T159" s="53"/>
      <c r="U159" s="53"/>
      <c r="V159" s="16">
        <f t="shared" si="2"/>
        <v>39032</v>
      </c>
      <c r="W159" s="53">
        <v>754</v>
      </c>
      <c r="X159" s="53">
        <v>211</v>
      </c>
      <c r="Y159" s="16">
        <f>Table1[[#This Row],[LOAD K.M]]+Table1[[#This Row],[EMPTY K.M]]</f>
        <v>965</v>
      </c>
      <c r="Z159" s="16">
        <f>Table1[[#This Row],[INVOICE AMOUNT2]]-Table1[[#This Row],[Total Exp.]]</f>
        <v>30374</v>
      </c>
      <c r="AA159" s="12">
        <f>Table1[[#This Row],[Total Exp.]]/Table1[[#This Row],[Total k.m]]</f>
        <v>40.447668393782386</v>
      </c>
      <c r="AB159" s="17">
        <f>Table1[[#This Row],[Profit/loss]]/Table1[[#This Row],[Total k.m]]</f>
        <v>31.475647668393783</v>
      </c>
      <c r="AC159" s="12">
        <f>Table1[[#This Row],[INVOICE AMOUNT2]]/Table1[[#This Row],[Total k.m]]</f>
        <v>71.92331606217617</v>
      </c>
    </row>
    <row r="160" spans="1:29" x14ac:dyDescent="0.3">
      <c r="A160" s="46">
        <v>158</v>
      </c>
      <c r="B160" s="52" t="s">
        <v>358</v>
      </c>
      <c r="C160" s="54" t="s">
        <v>63</v>
      </c>
      <c r="D160" s="10">
        <v>45955</v>
      </c>
      <c r="E160" s="11" t="s">
        <v>348</v>
      </c>
      <c r="F160" s="13" t="s">
        <v>35</v>
      </c>
      <c r="G160" s="13" t="s">
        <v>250</v>
      </c>
      <c r="H160" s="13" t="s">
        <v>352</v>
      </c>
      <c r="I160" s="14">
        <v>8</v>
      </c>
      <c r="J160" s="14">
        <v>79424</v>
      </c>
      <c r="K160" s="29">
        <v>23848</v>
      </c>
      <c r="L160" s="13">
        <v>36230</v>
      </c>
      <c r="M160" s="13">
        <v>1500</v>
      </c>
      <c r="N160" s="13"/>
      <c r="O160" s="13"/>
      <c r="P160" s="13">
        <v>2000</v>
      </c>
      <c r="Q160" s="13">
        <v>1000</v>
      </c>
      <c r="R160" s="13"/>
      <c r="S160" s="13">
        <v>400</v>
      </c>
      <c r="T160" s="13"/>
      <c r="U160" s="13"/>
      <c r="V160" s="16">
        <f t="shared" si="2"/>
        <v>64978</v>
      </c>
      <c r="W160" s="13">
        <v>780</v>
      </c>
      <c r="X160" s="13">
        <v>102</v>
      </c>
      <c r="Y160" s="16">
        <f>Table1[[#This Row],[LOAD K.M]]+Table1[[#This Row],[EMPTY K.M]]</f>
        <v>882</v>
      </c>
      <c r="Z160" s="16">
        <f>Table1[[#This Row],[INVOICE AMOUNT2]]-Table1[[#This Row],[Total Exp.]]</f>
        <v>14446</v>
      </c>
      <c r="AA160" s="13">
        <f>Table1[[#This Row],[Total Exp.]]/Table1[[#This Row],[Total k.m]]</f>
        <v>73.671201814058961</v>
      </c>
      <c r="AB160" s="26">
        <f>Table1[[#This Row],[Profit/loss]]/Table1[[#This Row],[Total k.m]]</f>
        <v>16.378684807256235</v>
      </c>
      <c r="AC160" s="12">
        <f>Table1[[#This Row],[INVOICE AMOUNT2]]/Table1[[#This Row],[Total k.m]]</f>
        <v>90.049886621315196</v>
      </c>
    </row>
    <row r="161" spans="1:29" x14ac:dyDescent="0.3">
      <c r="A161" s="45">
        <v>159</v>
      </c>
      <c r="B161" s="52" t="s">
        <v>359</v>
      </c>
      <c r="C161" s="53" t="s">
        <v>39</v>
      </c>
      <c r="D161" s="10">
        <v>45955</v>
      </c>
      <c r="E161" s="24" t="s">
        <v>348</v>
      </c>
      <c r="F161" s="12" t="s">
        <v>35</v>
      </c>
      <c r="G161" s="12" t="s">
        <v>99</v>
      </c>
      <c r="H161" s="53" t="s">
        <v>36</v>
      </c>
      <c r="I161" s="14">
        <v>6</v>
      </c>
      <c r="J161" s="15">
        <v>109890</v>
      </c>
      <c r="K161" s="21">
        <v>45219</v>
      </c>
      <c r="L161" s="12">
        <v>15233</v>
      </c>
      <c r="M161" s="12">
        <v>4000</v>
      </c>
      <c r="N161" s="12"/>
      <c r="O161" s="12"/>
      <c r="P161" s="12">
        <v>2000</v>
      </c>
      <c r="Q161" s="12">
        <v>1000</v>
      </c>
      <c r="R161" s="12"/>
      <c r="S161" s="12"/>
      <c r="T161" s="12"/>
      <c r="U161" s="12">
        <v>1290</v>
      </c>
      <c r="V161" s="16">
        <f t="shared" si="2"/>
        <v>68742</v>
      </c>
      <c r="W161" s="12">
        <v>1667</v>
      </c>
      <c r="X161" s="12">
        <v>28</v>
      </c>
      <c r="Y161" s="16">
        <f>Table1[[#This Row],[LOAD K.M]]+Table1[[#This Row],[EMPTY K.M]]</f>
        <v>1695</v>
      </c>
      <c r="Z161" s="16">
        <f>Table1[[#This Row],[INVOICE AMOUNT2]]-Table1[[#This Row],[Total Exp.]]</f>
        <v>41148</v>
      </c>
      <c r="AA161" s="12">
        <f>Table1[[#This Row],[Total Exp.]]/Table1[[#This Row],[Total k.m]]</f>
        <v>40.555752212389379</v>
      </c>
      <c r="AB161" s="17">
        <f>Table1[[#This Row],[Profit/loss]]/Table1[[#This Row],[Total k.m]]</f>
        <v>24.276106194690264</v>
      </c>
      <c r="AC161" s="12">
        <f>Table1[[#This Row],[INVOICE AMOUNT2]]/Table1[[#This Row],[Total k.m]]</f>
        <v>64.83185840707965</v>
      </c>
    </row>
    <row r="162" spans="1:29" x14ac:dyDescent="0.3">
      <c r="A162" s="51">
        <v>160</v>
      </c>
      <c r="B162" s="52" t="s">
        <v>360</v>
      </c>
      <c r="C162" s="12" t="s">
        <v>82</v>
      </c>
      <c r="D162" s="10">
        <v>45955</v>
      </c>
      <c r="E162" s="24" t="s">
        <v>361</v>
      </c>
      <c r="F162" s="12" t="s">
        <v>65</v>
      </c>
      <c r="G162" s="12" t="s">
        <v>66</v>
      </c>
      <c r="H162" s="12" t="s">
        <v>200</v>
      </c>
      <c r="I162" s="14">
        <v>8</v>
      </c>
      <c r="J162" s="15">
        <v>137525</v>
      </c>
      <c r="K162" s="21">
        <v>55448</v>
      </c>
      <c r="L162" s="12">
        <v>18435</v>
      </c>
      <c r="M162" s="12">
        <v>6000</v>
      </c>
      <c r="N162" s="12"/>
      <c r="O162" s="12"/>
      <c r="P162" s="12">
        <v>2000</v>
      </c>
      <c r="Q162" s="12">
        <v>1000</v>
      </c>
      <c r="R162" s="12"/>
      <c r="S162" s="12">
        <v>150</v>
      </c>
      <c r="T162" s="12"/>
      <c r="U162" s="12">
        <v>1320</v>
      </c>
      <c r="V162" s="16">
        <f t="shared" si="2"/>
        <v>84353</v>
      </c>
      <c r="W162" s="12">
        <v>1770</v>
      </c>
      <c r="X162" s="12">
        <v>239</v>
      </c>
      <c r="Y162" s="16">
        <f>Table1[[#This Row],[LOAD K.M]]+Table1[[#This Row],[EMPTY K.M]]</f>
        <v>2009</v>
      </c>
      <c r="Z162" s="16">
        <f>Table1[[#This Row],[INVOICE AMOUNT2]]-Table1[[#This Row],[Total Exp.]]</f>
        <v>53172</v>
      </c>
      <c r="AA162" s="12">
        <f>Table1[[#This Row],[Total Exp.]]/Table1[[#This Row],[Total k.m]]</f>
        <v>41.987555998008958</v>
      </c>
      <c r="AB162" s="17">
        <f>Table1[[#This Row],[Profit/loss]]/Table1[[#This Row],[Total k.m]]</f>
        <v>26.466898954703833</v>
      </c>
      <c r="AC162" s="12">
        <f>Table1[[#This Row],[INVOICE AMOUNT2]]/Table1[[#This Row],[Total k.m]]</f>
        <v>68.454454952712794</v>
      </c>
    </row>
    <row r="163" spans="1:29" x14ac:dyDescent="0.3">
      <c r="A163" s="46">
        <v>161</v>
      </c>
      <c r="B163" s="52" t="s">
        <v>362</v>
      </c>
      <c r="C163" s="12" t="s">
        <v>98</v>
      </c>
      <c r="D163" s="10">
        <v>45955</v>
      </c>
      <c r="E163" s="24" t="s">
        <v>361</v>
      </c>
      <c r="F163" s="12" t="s">
        <v>35</v>
      </c>
      <c r="G163" s="12" t="s">
        <v>250</v>
      </c>
      <c r="H163" s="12" t="s">
        <v>278</v>
      </c>
      <c r="I163" s="14">
        <v>8</v>
      </c>
      <c r="J163" s="15">
        <v>124778</v>
      </c>
      <c r="K163" s="21">
        <v>44595</v>
      </c>
      <c r="L163" s="21">
        <v>15128</v>
      </c>
      <c r="M163" s="12">
        <v>3500</v>
      </c>
      <c r="N163" s="12"/>
      <c r="O163" s="12">
        <v>350</v>
      </c>
      <c r="P163" s="12">
        <v>2000</v>
      </c>
      <c r="Q163" s="12">
        <v>1000</v>
      </c>
      <c r="R163" s="12"/>
      <c r="S163" s="12">
        <v>400</v>
      </c>
      <c r="T163" s="12"/>
      <c r="U163" s="12"/>
      <c r="V163" s="16">
        <f t="shared" si="2"/>
        <v>66973</v>
      </c>
      <c r="W163" s="12">
        <v>1188</v>
      </c>
      <c r="X163" s="12">
        <v>510</v>
      </c>
      <c r="Y163" s="16">
        <f>Table1[[#This Row],[LOAD K.M]]+Table1[[#This Row],[EMPTY K.M]]</f>
        <v>1698</v>
      </c>
      <c r="Z163" s="16">
        <f>Table1[[#This Row],[INVOICE AMOUNT2]]-Table1[[#This Row],[Total Exp.]]</f>
        <v>57805</v>
      </c>
      <c r="AA163" s="12">
        <f>Table1[[#This Row],[Total Exp.]]/Table1[[#This Row],[Total k.m]]</f>
        <v>39.44228504122497</v>
      </c>
      <c r="AB163" s="17">
        <f>Table1[[#This Row],[Profit/loss]]/Table1[[#This Row],[Total k.m]]</f>
        <v>34.042991755005886</v>
      </c>
      <c r="AC163" s="12">
        <f>Table1[[#This Row],[INVOICE AMOUNT2]]/Table1[[#This Row],[Total k.m]]</f>
        <v>73.485276796230863</v>
      </c>
    </row>
    <row r="164" spans="1:29" x14ac:dyDescent="0.3">
      <c r="A164" s="45">
        <v>162</v>
      </c>
      <c r="B164" s="52" t="s">
        <v>363</v>
      </c>
      <c r="C164" s="12" t="s">
        <v>109</v>
      </c>
      <c r="D164" s="10">
        <v>45955</v>
      </c>
      <c r="E164" s="24" t="s">
        <v>361</v>
      </c>
      <c r="F164" s="12" t="s">
        <v>35</v>
      </c>
      <c r="G164" s="12" t="s">
        <v>36</v>
      </c>
      <c r="H164" s="12" t="s">
        <v>364</v>
      </c>
      <c r="I164" s="14">
        <v>8</v>
      </c>
      <c r="J164" s="15">
        <v>196819</v>
      </c>
      <c r="K164" s="21">
        <v>82412</v>
      </c>
      <c r="L164" s="12">
        <v>27147</v>
      </c>
      <c r="M164" s="12">
        <v>6000</v>
      </c>
      <c r="N164" s="12"/>
      <c r="O164" s="12"/>
      <c r="P164" s="12">
        <v>2000</v>
      </c>
      <c r="Q164" s="12">
        <v>1000</v>
      </c>
      <c r="R164" s="12"/>
      <c r="S164" s="12">
        <v>600</v>
      </c>
      <c r="T164" s="12"/>
      <c r="U164" s="12">
        <v>3960</v>
      </c>
      <c r="V164" s="16">
        <f t="shared" si="2"/>
        <v>123119</v>
      </c>
      <c r="W164" s="12">
        <v>1662</v>
      </c>
      <c r="X164" s="12">
        <v>1386</v>
      </c>
      <c r="Y164" s="16">
        <f>Table1[[#This Row],[LOAD K.M]]+Table1[[#This Row],[EMPTY K.M]]</f>
        <v>3048</v>
      </c>
      <c r="Z164" s="16">
        <f>Table1[[#This Row],[INVOICE AMOUNT2]]-Table1[[#This Row],[Total Exp.]]</f>
        <v>73700</v>
      </c>
      <c r="AA164" s="12">
        <f>Table1[[#This Row],[Total Exp.]]/Table1[[#This Row],[Total k.m]]</f>
        <v>40.393372703412076</v>
      </c>
      <c r="AB164" s="17">
        <f>Table1[[#This Row],[Profit/loss]]/Table1[[#This Row],[Total k.m]]</f>
        <v>24.179790026246721</v>
      </c>
      <c r="AC164" s="12">
        <f>Table1[[#This Row],[INVOICE AMOUNT2]]/Table1[[#This Row],[Total k.m]]</f>
        <v>64.57316272965879</v>
      </c>
    </row>
    <row r="165" spans="1:29" x14ac:dyDescent="0.3">
      <c r="A165" s="51">
        <v>163</v>
      </c>
      <c r="B165" s="52" t="s">
        <v>365</v>
      </c>
      <c r="C165" s="12" t="s">
        <v>87</v>
      </c>
      <c r="D165" s="10">
        <v>45955</v>
      </c>
      <c r="E165" s="24" t="s">
        <v>366</v>
      </c>
      <c r="F165" s="12" t="s">
        <v>35</v>
      </c>
      <c r="G165" s="12" t="s">
        <v>250</v>
      </c>
      <c r="H165" s="12" t="s">
        <v>367</v>
      </c>
      <c r="I165" s="14">
        <v>8</v>
      </c>
      <c r="J165" s="15">
        <v>128186</v>
      </c>
      <c r="K165" s="27">
        <v>53193</v>
      </c>
      <c r="L165" s="12">
        <v>18863</v>
      </c>
      <c r="M165" s="12">
        <v>1500</v>
      </c>
      <c r="N165" s="12"/>
      <c r="O165" s="12"/>
      <c r="P165" s="12">
        <v>2000</v>
      </c>
      <c r="Q165" s="12">
        <v>1000</v>
      </c>
      <c r="R165" s="12"/>
      <c r="S165" s="12">
        <v>200</v>
      </c>
      <c r="T165" s="12"/>
      <c r="U165" s="12"/>
      <c r="V165" s="16">
        <f t="shared" si="2"/>
        <v>76756</v>
      </c>
      <c r="W165" s="12">
        <v>1168</v>
      </c>
      <c r="X165" s="12">
        <v>841</v>
      </c>
      <c r="Y165" s="16">
        <f>Table1[[#This Row],[LOAD K.M]]+Table1[[#This Row],[EMPTY K.M]]</f>
        <v>2009</v>
      </c>
      <c r="Z165" s="16">
        <f>Table1[[#This Row],[INVOICE AMOUNT2]]-Table1[[#This Row],[Total Exp.]]</f>
        <v>51430</v>
      </c>
      <c r="AA165" s="12">
        <f>Table1[[#This Row],[Total Exp.]]/Table1[[#This Row],[Total k.m]]</f>
        <v>38.206072672971629</v>
      </c>
      <c r="AB165" s="17">
        <f>Table1[[#This Row],[Profit/loss]]/Table1[[#This Row],[Total k.m]]</f>
        <v>25.599800895968144</v>
      </c>
      <c r="AC165" s="12">
        <f>Table1[[#This Row],[INVOICE AMOUNT2]]/Table1[[#This Row],[Total k.m]]</f>
        <v>63.805873568939774</v>
      </c>
    </row>
    <row r="166" spans="1:29" x14ac:dyDescent="0.3">
      <c r="A166" s="46">
        <v>164</v>
      </c>
      <c r="B166" s="52" t="s">
        <v>368</v>
      </c>
      <c r="C166" s="12" t="s">
        <v>29</v>
      </c>
      <c r="D166" s="10">
        <v>45955</v>
      </c>
      <c r="E166" s="24" t="s">
        <v>366</v>
      </c>
      <c r="F166" s="12" t="s">
        <v>35</v>
      </c>
      <c r="G166" s="12" t="s">
        <v>250</v>
      </c>
      <c r="H166" s="55" t="s">
        <v>369</v>
      </c>
      <c r="I166" s="14">
        <v>8</v>
      </c>
      <c r="J166" s="15">
        <v>170128</v>
      </c>
      <c r="K166" s="21">
        <v>56757</v>
      </c>
      <c r="L166" s="12">
        <v>18986</v>
      </c>
      <c r="M166" s="12">
        <v>6000</v>
      </c>
      <c r="N166" s="12"/>
      <c r="O166" s="12"/>
      <c r="P166" s="12">
        <v>2000</v>
      </c>
      <c r="Q166" s="12">
        <v>1500</v>
      </c>
      <c r="R166" s="12"/>
      <c r="S166" s="12"/>
      <c r="T166" s="12"/>
      <c r="U166" s="12">
        <v>2640</v>
      </c>
      <c r="V166" s="16">
        <f t="shared" si="2"/>
        <v>87883</v>
      </c>
      <c r="W166" s="12">
        <v>2019</v>
      </c>
      <c r="X166" s="12">
        <v>50</v>
      </c>
      <c r="Y166" s="16">
        <f>Table1[[#This Row],[LOAD K.M]]+Table1[[#This Row],[EMPTY K.M]]</f>
        <v>2069</v>
      </c>
      <c r="Z166" s="16">
        <f>Table1[[#This Row],[INVOICE AMOUNT2]]-Table1[[#This Row],[Total Exp.]]</f>
        <v>82245</v>
      </c>
      <c r="AA166" s="12">
        <f>Table1[[#This Row],[Total Exp.]]/Table1[[#This Row],[Total k.m]]</f>
        <v>42.476075398743355</v>
      </c>
      <c r="AB166" s="17">
        <f>Table1[[#This Row],[Profit/loss]]/Table1[[#This Row],[Total k.m]]</f>
        <v>39.751087481875302</v>
      </c>
      <c r="AC166" s="12">
        <f>Table1[[#This Row],[INVOICE AMOUNT2]]/Table1[[#This Row],[Total k.m]]</f>
        <v>82.22716288061865</v>
      </c>
    </row>
    <row r="167" spans="1:29" x14ac:dyDescent="0.3">
      <c r="A167" s="45">
        <v>165</v>
      </c>
      <c r="B167" s="52" t="s">
        <v>370</v>
      </c>
      <c r="C167" s="12" t="s">
        <v>102</v>
      </c>
      <c r="D167" s="10">
        <v>45955</v>
      </c>
      <c r="E167" s="24" t="s">
        <v>366</v>
      </c>
      <c r="F167" s="12" t="s">
        <v>35</v>
      </c>
      <c r="G167" s="12" t="s">
        <v>250</v>
      </c>
      <c r="H167" s="12" t="s">
        <v>226</v>
      </c>
      <c r="I167" s="14">
        <v>8</v>
      </c>
      <c r="J167" s="15">
        <v>74164</v>
      </c>
      <c r="K167" s="21">
        <v>22667</v>
      </c>
      <c r="L167" s="12">
        <v>8501</v>
      </c>
      <c r="M167" s="12">
        <v>3500</v>
      </c>
      <c r="N167" s="12"/>
      <c r="O167" s="12"/>
      <c r="P167" s="12">
        <v>2000</v>
      </c>
      <c r="Q167" s="12">
        <v>1000</v>
      </c>
      <c r="R167" s="12"/>
      <c r="S167" s="12">
        <v>200</v>
      </c>
      <c r="T167" s="12"/>
      <c r="U167" s="12">
        <v>2640</v>
      </c>
      <c r="V167" s="16">
        <f t="shared" si="2"/>
        <v>40508</v>
      </c>
      <c r="W167" s="12">
        <v>435</v>
      </c>
      <c r="X167" s="12">
        <v>435</v>
      </c>
      <c r="Y167" s="16">
        <f>Table1[[#This Row],[LOAD K.M]]+Table1[[#This Row],[EMPTY K.M]]</f>
        <v>870</v>
      </c>
      <c r="Z167" s="16">
        <f>Table1[[#This Row],[INVOICE AMOUNT2]]-Table1[[#This Row],[Total Exp.]]</f>
        <v>33656</v>
      </c>
      <c r="AA167" s="12">
        <f>Table1[[#This Row],[Total Exp.]]/Table1[[#This Row],[Total k.m]]</f>
        <v>46.560919540229882</v>
      </c>
      <c r="AB167" s="17">
        <f>Table1[[#This Row],[Profit/loss]]/Table1[[#This Row],[Total k.m]]</f>
        <v>38.685057471264365</v>
      </c>
      <c r="AC167" s="12">
        <f>Table1[[#This Row],[INVOICE AMOUNT2]]/Table1[[#This Row],[Total k.m]]</f>
        <v>85.245977011494247</v>
      </c>
    </row>
    <row r="168" spans="1:29" x14ac:dyDescent="0.3">
      <c r="A168" s="51">
        <v>166</v>
      </c>
      <c r="B168" s="52" t="s">
        <v>371</v>
      </c>
      <c r="C168" s="13" t="s">
        <v>69</v>
      </c>
      <c r="D168" s="10">
        <v>45955</v>
      </c>
      <c r="E168" s="11" t="s">
        <v>366</v>
      </c>
      <c r="F168" s="13" t="s">
        <v>35</v>
      </c>
      <c r="G168" s="13" t="s">
        <v>36</v>
      </c>
      <c r="H168" s="13" t="s">
        <v>96</v>
      </c>
      <c r="I168" s="14">
        <v>8</v>
      </c>
      <c r="J168" s="15">
        <v>53820</v>
      </c>
      <c r="K168" s="27">
        <v>25973</v>
      </c>
      <c r="L168" s="12">
        <v>8942</v>
      </c>
      <c r="M168" s="12">
        <v>1500</v>
      </c>
      <c r="N168" s="12"/>
      <c r="O168" s="12"/>
      <c r="P168" s="12">
        <v>2000</v>
      </c>
      <c r="Q168" s="12">
        <v>1000</v>
      </c>
      <c r="R168" s="12"/>
      <c r="S168" s="12"/>
      <c r="T168" s="12"/>
      <c r="U168" s="12">
        <v>1320</v>
      </c>
      <c r="V168" s="16">
        <f t="shared" si="2"/>
        <v>40735</v>
      </c>
      <c r="W168" s="12">
        <v>627</v>
      </c>
      <c r="X168" s="12">
        <v>352</v>
      </c>
      <c r="Y168" s="16">
        <f>Table1[[#This Row],[LOAD K.M]]+Table1[[#This Row],[EMPTY K.M]]</f>
        <v>979</v>
      </c>
      <c r="Z168" s="16">
        <f>Table1[[#This Row],[INVOICE AMOUNT2]]-Table1[[#This Row],[Total Exp.]]</f>
        <v>13085</v>
      </c>
      <c r="AA168" s="12">
        <f>Table1[[#This Row],[Total Exp.]]/Table1[[#This Row],[Total k.m]]</f>
        <v>41.608784473953015</v>
      </c>
      <c r="AB168" s="17">
        <f>Table1[[#This Row],[Profit/loss]]/Table1[[#This Row],[Total k.m]]</f>
        <v>13.36567926455567</v>
      </c>
      <c r="AC168" s="12">
        <f>Table1[[#This Row],[INVOICE AMOUNT2]]/Table1[[#This Row],[Total k.m]]</f>
        <v>54.974463738508682</v>
      </c>
    </row>
    <row r="169" spans="1:29" x14ac:dyDescent="0.3">
      <c r="A169" s="46">
        <v>167</v>
      </c>
      <c r="B169" s="52" t="s">
        <v>372</v>
      </c>
      <c r="C169" s="12" t="s">
        <v>72</v>
      </c>
      <c r="D169" s="10">
        <v>45955</v>
      </c>
      <c r="E169" s="24" t="s">
        <v>366</v>
      </c>
      <c r="F169" s="12" t="s">
        <v>35</v>
      </c>
      <c r="G169" s="12" t="s">
        <v>36</v>
      </c>
      <c r="H169" s="12" t="s">
        <v>373</v>
      </c>
      <c r="I169" s="14">
        <v>8</v>
      </c>
      <c r="J169" s="15">
        <v>104564</v>
      </c>
      <c r="K169" s="21">
        <v>40714</v>
      </c>
      <c r="L169" s="12">
        <v>13188</v>
      </c>
      <c r="M169" s="12">
        <v>4500</v>
      </c>
      <c r="N169" s="12"/>
      <c r="O169" s="12"/>
      <c r="P169" s="12">
        <v>2000</v>
      </c>
      <c r="Q169" s="12">
        <v>1000</v>
      </c>
      <c r="R169" s="12"/>
      <c r="S169" s="12">
        <v>400</v>
      </c>
      <c r="T169" s="12">
        <v>900</v>
      </c>
      <c r="U169" s="12">
        <v>2640</v>
      </c>
      <c r="V169" s="16">
        <f t="shared" si="2"/>
        <v>65342</v>
      </c>
      <c r="W169" s="12">
        <v>1151</v>
      </c>
      <c r="X169" s="12">
        <v>352</v>
      </c>
      <c r="Y169" s="16">
        <f>Table1[[#This Row],[LOAD K.M]]+Table1[[#This Row],[EMPTY K.M]]</f>
        <v>1503</v>
      </c>
      <c r="Z169" s="16">
        <f>Table1[[#This Row],[INVOICE AMOUNT2]]-Table1[[#This Row],[Total Exp.]]</f>
        <v>39222</v>
      </c>
      <c r="AA169" s="12">
        <f>Table1[[#This Row],[Total Exp.]]/Table1[[#This Row],[Total k.m]]</f>
        <v>43.474384564204925</v>
      </c>
      <c r="AB169" s="17">
        <f>Table1[[#This Row],[Profit/loss]]/Table1[[#This Row],[Total k.m]]</f>
        <v>26.095808383233532</v>
      </c>
      <c r="AC169" s="12">
        <f>Table1[[#This Row],[INVOICE AMOUNT2]]/Table1[[#This Row],[Total k.m]]</f>
        <v>69.570192947438457</v>
      </c>
    </row>
    <row r="170" spans="1:29" x14ac:dyDescent="0.3">
      <c r="A170" s="45">
        <v>168</v>
      </c>
      <c r="B170" s="52" t="s">
        <v>374</v>
      </c>
      <c r="C170" s="12" t="s">
        <v>59</v>
      </c>
      <c r="D170" s="10">
        <v>45955</v>
      </c>
      <c r="E170" s="24" t="s">
        <v>375</v>
      </c>
      <c r="F170" s="12" t="s">
        <v>35</v>
      </c>
      <c r="G170" s="12" t="s">
        <v>36</v>
      </c>
      <c r="H170" s="12" t="s">
        <v>364</v>
      </c>
      <c r="I170" s="14">
        <v>8</v>
      </c>
      <c r="J170" s="15">
        <v>165974</v>
      </c>
      <c r="K170" s="21">
        <v>77769</v>
      </c>
      <c r="L170" s="12">
        <v>25942</v>
      </c>
      <c r="M170" s="12">
        <v>6000</v>
      </c>
      <c r="N170" s="12"/>
      <c r="O170" s="12"/>
      <c r="P170" s="12">
        <v>2000</v>
      </c>
      <c r="Q170" s="12">
        <v>1000</v>
      </c>
      <c r="R170" s="12"/>
      <c r="S170" s="12">
        <v>800</v>
      </c>
      <c r="T170" s="12"/>
      <c r="U170" s="12">
        <v>2640</v>
      </c>
      <c r="V170" s="16">
        <f t="shared" si="2"/>
        <v>116151</v>
      </c>
      <c r="W170" s="12">
        <v>1633</v>
      </c>
      <c r="X170" s="12">
        <v>1230</v>
      </c>
      <c r="Y170" s="16">
        <f>Table1[[#This Row],[LOAD K.M]]+Table1[[#This Row],[EMPTY K.M]]</f>
        <v>2863</v>
      </c>
      <c r="Z170" s="16">
        <f>Table1[[#This Row],[INVOICE AMOUNT2]]-Table1[[#This Row],[Total Exp.]]</f>
        <v>49823</v>
      </c>
      <c r="AA170" s="12">
        <f>Table1[[#This Row],[Total Exp.]]/Table1[[#This Row],[Total k.m]]</f>
        <v>40.569682151589241</v>
      </c>
      <c r="AB170" s="17">
        <f>Table1[[#This Row],[Profit/loss]]/Table1[[#This Row],[Total k.m]]</f>
        <v>17.402375130981486</v>
      </c>
      <c r="AC170" s="12">
        <f>Table1[[#This Row],[INVOICE AMOUNT2]]/Table1[[#This Row],[Total k.m]]</f>
        <v>57.972057282570731</v>
      </c>
    </row>
    <row r="171" spans="1:29" x14ac:dyDescent="0.3">
      <c r="A171" s="51">
        <v>169</v>
      </c>
      <c r="B171" s="52" t="s">
        <v>376</v>
      </c>
      <c r="C171" s="12" t="s">
        <v>84</v>
      </c>
      <c r="D171" s="10">
        <v>45955</v>
      </c>
      <c r="E171" s="24" t="s">
        <v>375</v>
      </c>
      <c r="F171" s="12" t="s">
        <v>35</v>
      </c>
      <c r="G171" s="12" t="s">
        <v>36</v>
      </c>
      <c r="H171" s="12" t="s">
        <v>96</v>
      </c>
      <c r="I171" s="14">
        <v>7</v>
      </c>
      <c r="J171" s="15">
        <v>48861</v>
      </c>
      <c r="K171" s="21">
        <v>24641</v>
      </c>
      <c r="L171" s="12">
        <v>8892</v>
      </c>
      <c r="M171" s="12">
        <v>1500</v>
      </c>
      <c r="N171" s="12"/>
      <c r="O171" s="12"/>
      <c r="P171" s="12">
        <v>2000</v>
      </c>
      <c r="Q171" s="12">
        <v>1000</v>
      </c>
      <c r="R171" s="12"/>
      <c r="S171" s="12">
        <v>100</v>
      </c>
      <c r="T171" s="12"/>
      <c r="U171" s="12"/>
      <c r="V171" s="16">
        <f t="shared" si="2"/>
        <v>38133</v>
      </c>
      <c r="W171" s="12">
        <v>590</v>
      </c>
      <c r="X171" s="12">
        <v>339</v>
      </c>
      <c r="Y171" s="16">
        <f>Table1[[#This Row],[LOAD K.M]]+Table1[[#This Row],[EMPTY K.M]]</f>
        <v>929</v>
      </c>
      <c r="Z171" s="16">
        <f>Table1[[#This Row],[INVOICE AMOUNT2]]-Table1[[#This Row],[Total Exp.]]</f>
        <v>10728</v>
      </c>
      <c r="AA171" s="12">
        <f>Table1[[#This Row],[Total Exp.]]/Table1[[#This Row],[Total k.m]]</f>
        <v>41.047362755651235</v>
      </c>
      <c r="AB171" s="17">
        <f>Table1[[#This Row],[Profit/loss]]/Table1[[#This Row],[Total k.m]]</f>
        <v>11.547900968783638</v>
      </c>
      <c r="AC171" s="12">
        <f>Table1[[#This Row],[INVOICE AMOUNT2]]/Table1[[#This Row],[Total k.m]]</f>
        <v>52.595263724434879</v>
      </c>
    </row>
    <row r="172" spans="1:29" x14ac:dyDescent="0.3">
      <c r="A172" s="46">
        <v>170</v>
      </c>
      <c r="B172" s="52" t="s">
        <v>377</v>
      </c>
      <c r="C172" s="12" t="s">
        <v>75</v>
      </c>
      <c r="D172" s="10">
        <v>45955</v>
      </c>
      <c r="E172" s="24" t="s">
        <v>375</v>
      </c>
      <c r="F172" s="12" t="s">
        <v>35</v>
      </c>
      <c r="G172" s="12" t="s">
        <v>36</v>
      </c>
      <c r="H172" s="12" t="s">
        <v>96</v>
      </c>
      <c r="I172" s="14">
        <v>7</v>
      </c>
      <c r="J172" s="15">
        <v>48391</v>
      </c>
      <c r="K172" s="21">
        <v>26995</v>
      </c>
      <c r="L172" s="12">
        <v>8942</v>
      </c>
      <c r="M172" s="12">
        <v>1500</v>
      </c>
      <c r="N172" s="12"/>
      <c r="O172" s="12"/>
      <c r="P172" s="12">
        <v>2000</v>
      </c>
      <c r="Q172" s="12">
        <v>1000</v>
      </c>
      <c r="R172" s="12"/>
      <c r="S172" s="12">
        <v>400</v>
      </c>
      <c r="T172" s="12"/>
      <c r="U172" s="12">
        <v>1320</v>
      </c>
      <c r="V172" s="16">
        <f t="shared" si="2"/>
        <v>42157</v>
      </c>
      <c r="W172" s="12">
        <v>626</v>
      </c>
      <c r="X172" s="12">
        <v>395</v>
      </c>
      <c r="Y172" s="16">
        <f>Table1[[#This Row],[LOAD K.M]]+Table1[[#This Row],[EMPTY K.M]]</f>
        <v>1021</v>
      </c>
      <c r="Z172" s="16">
        <f>Table1[[#This Row],[INVOICE AMOUNT2]]-Table1[[#This Row],[Total Exp.]]</f>
        <v>6234</v>
      </c>
      <c r="AA172" s="12">
        <f>Table1[[#This Row],[Total Exp.]]/Table1[[#This Row],[Total k.m]]</f>
        <v>41.289911851126348</v>
      </c>
      <c r="AB172" s="17">
        <f>Table1[[#This Row],[Profit/loss]]/Table1[[#This Row],[Total k.m]]</f>
        <v>6.1057786483839376</v>
      </c>
      <c r="AC172" s="12">
        <f>Table1[[#This Row],[INVOICE AMOUNT2]]/Table1[[#This Row],[Total k.m]]</f>
        <v>47.395690499510287</v>
      </c>
    </row>
    <row r="173" spans="1:29" x14ac:dyDescent="0.3">
      <c r="A173" s="12">
        <v>171</v>
      </c>
      <c r="B173" s="25" t="s">
        <v>378</v>
      </c>
      <c r="C173" s="12" t="s">
        <v>95</v>
      </c>
      <c r="D173" s="10">
        <v>45955</v>
      </c>
      <c r="E173" s="24" t="s">
        <v>375</v>
      </c>
      <c r="F173" s="12" t="s">
        <v>35</v>
      </c>
      <c r="G173" s="12" t="s">
        <v>36</v>
      </c>
      <c r="H173" s="12" t="s">
        <v>379</v>
      </c>
      <c r="I173" s="14">
        <v>8</v>
      </c>
      <c r="J173" s="15">
        <v>131582</v>
      </c>
      <c r="K173" s="21">
        <v>57763</v>
      </c>
      <c r="L173" s="47">
        <v>18672.3</v>
      </c>
      <c r="M173" s="12">
        <v>4500</v>
      </c>
      <c r="N173" s="12"/>
      <c r="O173" s="12"/>
      <c r="P173" s="12">
        <v>2000</v>
      </c>
      <c r="Q173" s="12">
        <v>1000</v>
      </c>
      <c r="R173" s="12"/>
      <c r="S173" s="12">
        <v>600</v>
      </c>
      <c r="T173" s="12"/>
      <c r="U173" s="12"/>
      <c r="V173" s="16">
        <f t="shared" si="2"/>
        <v>84535.3</v>
      </c>
      <c r="W173" s="12">
        <v>1280</v>
      </c>
      <c r="X173" s="12">
        <v>842</v>
      </c>
      <c r="Y173" s="16">
        <f>Table1[[#This Row],[LOAD K.M]]+Table1[[#This Row],[EMPTY K.M]]</f>
        <v>2122</v>
      </c>
      <c r="Z173" s="16">
        <f>Table1[[#This Row],[INVOICE AMOUNT2]]-Table1[[#This Row],[Total Exp.]]</f>
        <v>47046.7</v>
      </c>
      <c r="AA173" s="12">
        <f>Table1[[#This Row],[Total Exp.]]/Table1[[#This Row],[Total k.m]]</f>
        <v>39.837558906691804</v>
      </c>
      <c r="AB173" s="17">
        <f>Table1[[#This Row],[Profit/loss]]/Table1[[#This Row],[Total k.m]]</f>
        <v>22.170923656927425</v>
      </c>
      <c r="AC173" s="12">
        <f>Table1[[#This Row],[INVOICE AMOUNT2]]/Table1[[#This Row],[Total k.m]]</f>
        <v>62.008482563619225</v>
      </c>
    </row>
    <row r="174" spans="1:29" x14ac:dyDescent="0.3">
      <c r="A174" s="51">
        <v>172</v>
      </c>
      <c r="B174" s="52" t="s">
        <v>380</v>
      </c>
      <c r="C174" s="12" t="s">
        <v>105</v>
      </c>
      <c r="D174" s="10">
        <v>45955</v>
      </c>
      <c r="E174" s="24" t="s">
        <v>381</v>
      </c>
      <c r="F174" s="12" t="s">
        <v>178</v>
      </c>
      <c r="G174" s="12" t="s">
        <v>196</v>
      </c>
      <c r="H174" s="12" t="s">
        <v>382</v>
      </c>
      <c r="I174" s="14">
        <v>6</v>
      </c>
      <c r="J174" s="15">
        <v>144126</v>
      </c>
      <c r="K174" s="12">
        <v>63448</v>
      </c>
      <c r="L174" s="12">
        <v>22963</v>
      </c>
      <c r="M174" s="12">
        <v>4000</v>
      </c>
      <c r="N174" s="12"/>
      <c r="O174" s="12">
        <v>500</v>
      </c>
      <c r="P174" s="12">
        <v>2000</v>
      </c>
      <c r="Q174" s="12">
        <v>1000</v>
      </c>
      <c r="R174" s="12"/>
      <c r="S174" s="12">
        <v>600</v>
      </c>
      <c r="T174" s="12"/>
      <c r="U174" s="12">
        <v>2944</v>
      </c>
      <c r="V174" s="16">
        <f t="shared" si="2"/>
        <v>97455</v>
      </c>
      <c r="W174" s="12">
        <v>1880</v>
      </c>
      <c r="X174" s="12">
        <v>486</v>
      </c>
      <c r="Y174" s="16">
        <f>Table1[[#This Row],[LOAD K.M]]+Table1[[#This Row],[EMPTY K.M]]</f>
        <v>2366</v>
      </c>
      <c r="Z174" s="16">
        <f>Table1[[#This Row],[INVOICE AMOUNT2]]-Table1[[#This Row],[Total Exp.]]</f>
        <v>46671</v>
      </c>
      <c r="AA174" s="12">
        <f>Table1[[#This Row],[Total Exp.]]/Table1[[#This Row],[Total k.m]]</f>
        <v>41.189771766694847</v>
      </c>
      <c r="AB174" s="17">
        <f>Table1[[#This Row],[Profit/loss]]/Table1[[#This Row],[Total k.m]]</f>
        <v>19.725697379543533</v>
      </c>
      <c r="AC174" s="12">
        <f>Table1[[#This Row],[INVOICE AMOUNT2]]/Table1[[#This Row],[Total k.m]]</f>
        <v>60.915469146238379</v>
      </c>
    </row>
    <row r="175" spans="1:29" x14ac:dyDescent="0.3">
      <c r="A175" s="12">
        <v>173</v>
      </c>
      <c r="B175" s="25" t="s">
        <v>383</v>
      </c>
      <c r="C175" s="12" t="s">
        <v>134</v>
      </c>
      <c r="D175" s="10">
        <v>45955</v>
      </c>
      <c r="E175" s="24" t="s">
        <v>384</v>
      </c>
      <c r="F175" s="12" t="s">
        <v>35</v>
      </c>
      <c r="G175" s="12" t="s">
        <v>250</v>
      </c>
      <c r="H175" s="12" t="s">
        <v>342</v>
      </c>
      <c r="I175" s="14">
        <v>8</v>
      </c>
      <c r="J175" s="15">
        <v>106920</v>
      </c>
      <c r="K175" s="21">
        <v>36239</v>
      </c>
      <c r="L175" s="12">
        <v>11107</v>
      </c>
      <c r="M175" s="12">
        <v>1500</v>
      </c>
      <c r="N175" s="12"/>
      <c r="O175" s="12"/>
      <c r="P175" s="12">
        <v>2000</v>
      </c>
      <c r="Q175" s="12">
        <v>1000</v>
      </c>
      <c r="R175" s="12"/>
      <c r="S175" s="12">
        <v>1200</v>
      </c>
      <c r="T175" s="12"/>
      <c r="U175" s="12">
        <v>1204</v>
      </c>
      <c r="V175" s="16">
        <f t="shared" si="2"/>
        <v>54250</v>
      </c>
      <c r="W175" s="12">
        <v>1033</v>
      </c>
      <c r="X175" s="12">
        <v>320</v>
      </c>
      <c r="Y175" s="16">
        <f>Table1[[#This Row],[LOAD K.M]]+Table1[[#This Row],[EMPTY K.M]]</f>
        <v>1353</v>
      </c>
      <c r="Z175" s="16">
        <f>Table1[[#This Row],[INVOICE AMOUNT2]]-Table1[[#This Row],[Total Exp.]]</f>
        <v>52670</v>
      </c>
      <c r="AA175" s="12">
        <f>Table1[[#This Row],[Total Exp.]]/Table1[[#This Row],[Total k.m]]</f>
        <v>40.096082779009606</v>
      </c>
      <c r="AB175" s="17">
        <f>Table1[[#This Row],[Profit/loss]]/Table1[[#This Row],[Total k.m]]</f>
        <v>38.928307464892832</v>
      </c>
      <c r="AC175" s="12">
        <f>Table1[[#This Row],[INVOICE AMOUNT2]]/Table1[[#This Row],[Total k.m]]</f>
        <v>79.024390243902445</v>
      </c>
    </row>
    <row r="176" spans="1:29" x14ac:dyDescent="0.3">
      <c r="A176" s="51">
        <v>174</v>
      </c>
      <c r="B176" s="52" t="s">
        <v>385</v>
      </c>
      <c r="C176" s="12" t="s">
        <v>34</v>
      </c>
      <c r="D176" s="10">
        <v>45955</v>
      </c>
      <c r="E176" s="24" t="s">
        <v>384</v>
      </c>
      <c r="F176" s="12" t="s">
        <v>35</v>
      </c>
      <c r="G176" s="12" t="s">
        <v>250</v>
      </c>
      <c r="H176" s="12" t="s">
        <v>386</v>
      </c>
      <c r="I176" s="14">
        <v>8</v>
      </c>
      <c r="J176" s="15">
        <v>122543</v>
      </c>
      <c r="K176" s="21">
        <v>49100</v>
      </c>
      <c r="L176" s="12">
        <v>14453</v>
      </c>
      <c r="M176" s="12">
        <v>4000</v>
      </c>
      <c r="N176" s="12"/>
      <c r="O176" s="12"/>
      <c r="P176" s="12">
        <v>2000</v>
      </c>
      <c r="Q176" s="12">
        <v>1000</v>
      </c>
      <c r="R176" s="12"/>
      <c r="S176" s="12">
        <v>1200</v>
      </c>
      <c r="T176" s="12"/>
      <c r="U176" s="12">
        <v>2500</v>
      </c>
      <c r="V176" s="16">
        <f t="shared" si="2"/>
        <v>74253</v>
      </c>
      <c r="W176" s="12">
        <v>1370</v>
      </c>
      <c r="X176" s="12">
        <v>460</v>
      </c>
      <c r="Y176" s="16">
        <f>Table1[[#This Row],[LOAD K.M]]+Table1[[#This Row],[EMPTY K.M]]</f>
        <v>1830</v>
      </c>
      <c r="Z176" s="16">
        <f>Table1[[#This Row],[INVOICE AMOUNT2]]-Table1[[#This Row],[Total Exp.]]</f>
        <v>48290</v>
      </c>
      <c r="AA176" s="12">
        <f>Table1[[#This Row],[Total Exp.]]/Table1[[#This Row],[Total k.m]]</f>
        <v>40.575409836065575</v>
      </c>
      <c r="AB176" s="17">
        <f>Table1[[#This Row],[Profit/loss]]/Table1[[#This Row],[Total k.m]]</f>
        <v>26.387978142076502</v>
      </c>
      <c r="AC176" s="12">
        <f>Table1[[#This Row],[INVOICE AMOUNT2]]/Table1[[#This Row],[Total k.m]]</f>
        <v>66.96338797814208</v>
      </c>
    </row>
    <row r="177" spans="1:29" x14ac:dyDescent="0.3">
      <c r="A177" s="12">
        <v>175</v>
      </c>
      <c r="B177" s="25" t="s">
        <v>387</v>
      </c>
      <c r="C177" s="12" t="s">
        <v>102</v>
      </c>
      <c r="D177" s="10">
        <v>45955</v>
      </c>
      <c r="E177" s="24" t="s">
        <v>384</v>
      </c>
      <c r="F177" s="12" t="s">
        <v>35</v>
      </c>
      <c r="G177" s="12" t="s">
        <v>250</v>
      </c>
      <c r="H177" s="12" t="s">
        <v>197</v>
      </c>
      <c r="I177" s="14">
        <v>8</v>
      </c>
      <c r="J177" s="15">
        <v>112933</v>
      </c>
      <c r="K177" s="21">
        <v>54600</v>
      </c>
      <c r="L177" s="12">
        <v>18465</v>
      </c>
      <c r="M177" s="12">
        <v>5000</v>
      </c>
      <c r="N177" s="12"/>
      <c r="O177" s="12"/>
      <c r="P177" s="12">
        <v>2000</v>
      </c>
      <c r="Q177" s="12">
        <v>1000</v>
      </c>
      <c r="R177" s="12"/>
      <c r="S177" s="12">
        <v>1000</v>
      </c>
      <c r="T177" s="12"/>
      <c r="U177" s="12"/>
      <c r="V177" s="16">
        <f t="shared" si="2"/>
        <v>82065</v>
      </c>
      <c r="W177" s="12">
        <v>1668</v>
      </c>
      <c r="X177" s="12">
        <v>338</v>
      </c>
      <c r="Y177" s="16">
        <f>Table1[[#This Row],[LOAD K.M]]+Table1[[#This Row],[EMPTY K.M]]</f>
        <v>2006</v>
      </c>
      <c r="Z177" s="16">
        <f>Table1[[#This Row],[INVOICE AMOUNT2]]-Table1[[#This Row],[Total Exp.]]</f>
        <v>30868</v>
      </c>
      <c r="AA177" s="12">
        <f>Table1[[#This Row],[Total Exp.]]/Table1[[#This Row],[Total k.m]]</f>
        <v>40.909770687936188</v>
      </c>
      <c r="AB177" s="17">
        <f>Table1[[#This Row],[Profit/loss]]/Table1[[#This Row],[Total k.m]]</f>
        <v>15.387836490528414</v>
      </c>
      <c r="AC177" s="12">
        <f>Table1[[#This Row],[INVOICE AMOUNT2]]/Table1[[#This Row],[Total k.m]]</f>
        <v>56.297607178464609</v>
      </c>
    </row>
    <row r="178" spans="1:29" x14ac:dyDescent="0.3">
      <c r="A178" s="51">
        <v>176</v>
      </c>
      <c r="B178" s="52" t="s">
        <v>388</v>
      </c>
      <c r="C178" s="12" t="s">
        <v>29</v>
      </c>
      <c r="D178" s="10">
        <v>45955</v>
      </c>
      <c r="E178" s="24" t="s">
        <v>384</v>
      </c>
      <c r="F178" s="12" t="s">
        <v>65</v>
      </c>
      <c r="G178" s="12" t="s">
        <v>66</v>
      </c>
      <c r="H178" s="12" t="s">
        <v>154</v>
      </c>
      <c r="I178" s="14">
        <v>8</v>
      </c>
      <c r="J178" s="15">
        <v>185802</v>
      </c>
      <c r="K178" s="21">
        <v>66981</v>
      </c>
      <c r="L178" s="12">
        <v>23544</v>
      </c>
      <c r="M178" s="12">
        <v>11000</v>
      </c>
      <c r="N178" s="12"/>
      <c r="O178" s="12"/>
      <c r="P178" s="12">
        <v>2000</v>
      </c>
      <c r="Q178" s="12">
        <v>1000</v>
      </c>
      <c r="R178" s="12"/>
      <c r="S178" s="12">
        <v>150</v>
      </c>
      <c r="T178" s="12"/>
      <c r="U178" s="12"/>
      <c r="V178" s="16">
        <f t="shared" si="2"/>
        <v>104675</v>
      </c>
      <c r="W178" s="12">
        <v>2092</v>
      </c>
      <c r="X178" s="12">
        <v>339</v>
      </c>
      <c r="Y178" s="16">
        <f>Table1[[#This Row],[LOAD K.M]]+Table1[[#This Row],[EMPTY K.M]]</f>
        <v>2431</v>
      </c>
      <c r="Z178" s="16">
        <f>Table1[[#This Row],[INVOICE AMOUNT2]]-Table1[[#This Row],[Total Exp.]]</f>
        <v>81127</v>
      </c>
      <c r="AA178" s="12">
        <f>Table1[[#This Row],[Total Exp.]]/Table1[[#This Row],[Total k.m]]</f>
        <v>43.058412176059235</v>
      </c>
      <c r="AB178" s="17">
        <f>Table1[[#This Row],[Profit/loss]]/Table1[[#This Row],[Total k.m]]</f>
        <v>33.371863430686957</v>
      </c>
      <c r="AC178" s="12">
        <f>Table1[[#This Row],[INVOICE AMOUNT2]]/Table1[[#This Row],[Total k.m]]</f>
        <v>76.430275606746193</v>
      </c>
    </row>
    <row r="179" spans="1:29" x14ac:dyDescent="0.3">
      <c r="A179" s="12">
        <v>177</v>
      </c>
      <c r="B179" s="25" t="s">
        <v>389</v>
      </c>
      <c r="C179" s="12" t="s">
        <v>72</v>
      </c>
      <c r="D179" s="10">
        <v>45955</v>
      </c>
      <c r="E179" s="24" t="s">
        <v>384</v>
      </c>
      <c r="F179" s="12" t="s">
        <v>65</v>
      </c>
      <c r="G179" s="12" t="s">
        <v>66</v>
      </c>
      <c r="H179" s="12" t="s">
        <v>226</v>
      </c>
      <c r="I179" s="14">
        <v>8</v>
      </c>
      <c r="J179" s="15">
        <v>153346</v>
      </c>
      <c r="K179" s="21">
        <v>64853</v>
      </c>
      <c r="L179" s="12">
        <v>22694</v>
      </c>
      <c r="M179" s="12">
        <v>9500</v>
      </c>
      <c r="N179" s="12"/>
      <c r="O179" s="12"/>
      <c r="P179" s="12">
        <v>2000</v>
      </c>
      <c r="Q179" s="12">
        <v>1000</v>
      </c>
      <c r="R179" s="12"/>
      <c r="S179" s="12">
        <v>150</v>
      </c>
      <c r="T179" s="12"/>
      <c r="U179" s="12">
        <v>1320</v>
      </c>
      <c r="V179" s="16">
        <f t="shared" si="2"/>
        <v>101517</v>
      </c>
      <c r="W179" s="12">
        <v>1775</v>
      </c>
      <c r="X179" s="12">
        <v>611</v>
      </c>
      <c r="Y179" s="16">
        <f>Table1[[#This Row],[LOAD K.M]]+Table1[[#This Row],[EMPTY K.M]]</f>
        <v>2386</v>
      </c>
      <c r="Z179" s="16">
        <f>Table1[[#This Row],[INVOICE AMOUNT2]]-Table1[[#This Row],[Total Exp.]]</f>
        <v>51829</v>
      </c>
      <c r="AA179" s="12">
        <f>Table1[[#This Row],[Total Exp.]]/Table1[[#This Row],[Total k.m]]</f>
        <v>42.546940486169319</v>
      </c>
      <c r="AB179" s="17">
        <f>Table1[[#This Row],[Profit/loss]]/Table1[[#This Row],[Total k.m]]</f>
        <v>21.722129086336967</v>
      </c>
      <c r="AC179" s="12">
        <f>Table1[[#This Row],[INVOICE AMOUNT2]]/Table1[[#This Row],[Total k.m]]</f>
        <v>64.269069572506282</v>
      </c>
    </row>
    <row r="180" spans="1:29" x14ac:dyDescent="0.3">
      <c r="A180" s="51">
        <v>178</v>
      </c>
      <c r="B180" s="52" t="s">
        <v>390</v>
      </c>
      <c r="C180" s="12" t="s">
        <v>87</v>
      </c>
      <c r="D180" s="10">
        <v>45955</v>
      </c>
      <c r="E180" s="24" t="s">
        <v>384</v>
      </c>
      <c r="F180" s="12" t="s">
        <v>178</v>
      </c>
      <c r="G180" s="12" t="s">
        <v>228</v>
      </c>
      <c r="H180" s="12" t="s">
        <v>229</v>
      </c>
      <c r="I180" s="14">
        <v>6</v>
      </c>
      <c r="J180" s="15">
        <v>93960</v>
      </c>
      <c r="K180" s="27">
        <v>43772</v>
      </c>
      <c r="L180" s="12">
        <v>16523</v>
      </c>
      <c r="M180" s="12">
        <v>5000</v>
      </c>
      <c r="N180" s="12"/>
      <c r="O180" s="12"/>
      <c r="P180" s="12">
        <v>2000</v>
      </c>
      <c r="Q180" s="12">
        <v>1000</v>
      </c>
      <c r="R180" s="12"/>
      <c r="S180" s="12">
        <v>200</v>
      </c>
      <c r="T180" s="12">
        <v>440</v>
      </c>
      <c r="U180" s="12">
        <v>2935</v>
      </c>
      <c r="V180" s="16">
        <f t="shared" si="2"/>
        <v>71870</v>
      </c>
      <c r="W180" s="12">
        <v>841</v>
      </c>
      <c r="X180" s="12">
        <v>820</v>
      </c>
      <c r="Y180" s="16">
        <f>Table1[[#This Row],[LOAD K.M]]+Table1[[#This Row],[EMPTY K.M]]</f>
        <v>1661</v>
      </c>
      <c r="Z180" s="16">
        <f>Table1[[#This Row],[INVOICE AMOUNT2]]-Table1[[#This Row],[Total Exp.]]</f>
        <v>22090</v>
      </c>
      <c r="AA180" s="12">
        <f>Table1[[#This Row],[Total Exp.]]/Table1[[#This Row],[Total k.m]]</f>
        <v>43.269114990969292</v>
      </c>
      <c r="AB180" s="17">
        <f>Table1[[#This Row],[Profit/loss]]/Table1[[#This Row],[Total k.m]]</f>
        <v>13.299217338952438</v>
      </c>
      <c r="AC180" s="12">
        <f>Table1[[#This Row],[INVOICE AMOUNT2]]/Table1[[#This Row],[Total k.m]]</f>
        <v>56.568332329921731</v>
      </c>
    </row>
    <row r="181" spans="1:29" x14ac:dyDescent="0.3">
      <c r="A181" s="12">
        <v>179</v>
      </c>
      <c r="B181" s="25" t="s">
        <v>391</v>
      </c>
      <c r="C181" s="12" t="s">
        <v>39</v>
      </c>
      <c r="D181" s="10">
        <v>45955</v>
      </c>
      <c r="E181" s="24" t="s">
        <v>384</v>
      </c>
      <c r="F181" s="12" t="s">
        <v>178</v>
      </c>
      <c r="G181" s="12" t="s">
        <v>228</v>
      </c>
      <c r="H181" s="12" t="s">
        <v>182</v>
      </c>
      <c r="I181" s="14">
        <v>6</v>
      </c>
      <c r="J181" s="15">
        <v>128064</v>
      </c>
      <c r="K181" s="21">
        <v>56822</v>
      </c>
      <c r="L181" s="12">
        <v>19570</v>
      </c>
      <c r="M181" s="12">
        <v>4500</v>
      </c>
      <c r="N181" s="12"/>
      <c r="O181" s="12"/>
      <c r="P181" s="12">
        <v>2000</v>
      </c>
      <c r="Q181" s="12">
        <v>1000</v>
      </c>
      <c r="R181" s="12"/>
      <c r="S181" s="12"/>
      <c r="T181" s="12">
        <v>218</v>
      </c>
      <c r="U181" s="12"/>
      <c r="V181" s="16">
        <f t="shared" si="2"/>
        <v>84110</v>
      </c>
      <c r="W181" s="12">
        <v>1824</v>
      </c>
      <c r="X181" s="12">
        <v>303</v>
      </c>
      <c r="Y181" s="16">
        <f>Table1[[#This Row],[LOAD K.M]]+Table1[[#This Row],[EMPTY K.M]]</f>
        <v>2127</v>
      </c>
      <c r="Z181" s="16">
        <f>Table1[[#This Row],[INVOICE AMOUNT2]]-Table1[[#This Row],[Total Exp.]]</f>
        <v>43954</v>
      </c>
      <c r="AA181" s="12">
        <f>Table1[[#This Row],[Total Exp.]]/Table1[[#This Row],[Total k.m]]</f>
        <v>39.543958627174426</v>
      </c>
      <c r="AB181" s="17">
        <f>Table1[[#This Row],[Profit/loss]]/Table1[[#This Row],[Total k.m]]</f>
        <v>20.664786083685943</v>
      </c>
      <c r="AC181" s="12">
        <f>Table1[[#This Row],[INVOICE AMOUNT2]]/Table1[[#This Row],[Total k.m]]</f>
        <v>60.208744710860366</v>
      </c>
    </row>
    <row r="182" spans="1:29" x14ac:dyDescent="0.3">
      <c r="A182" s="51">
        <v>180</v>
      </c>
      <c r="B182" s="52" t="s">
        <v>392</v>
      </c>
      <c r="C182" s="13" t="s">
        <v>63</v>
      </c>
      <c r="D182" s="10">
        <v>45955</v>
      </c>
      <c r="E182" s="11" t="s">
        <v>393</v>
      </c>
      <c r="F182" s="13" t="s">
        <v>35</v>
      </c>
      <c r="G182" s="13" t="s">
        <v>36</v>
      </c>
      <c r="H182" s="13" t="s">
        <v>70</v>
      </c>
      <c r="I182" s="14">
        <v>8</v>
      </c>
      <c r="J182" s="14">
        <v>145200</v>
      </c>
      <c r="K182" s="29">
        <v>56311</v>
      </c>
      <c r="L182" s="13">
        <v>17117</v>
      </c>
      <c r="M182" s="13">
        <v>4500</v>
      </c>
      <c r="N182" s="13"/>
      <c r="O182" s="13"/>
      <c r="P182" s="13">
        <v>2000</v>
      </c>
      <c r="Q182" s="13">
        <v>1000</v>
      </c>
      <c r="R182" s="13"/>
      <c r="S182" s="13">
        <v>700</v>
      </c>
      <c r="T182" s="13"/>
      <c r="U182" s="13"/>
      <c r="V182" s="16">
        <f t="shared" si="2"/>
        <v>81628</v>
      </c>
      <c r="W182" s="13">
        <v>1233</v>
      </c>
      <c r="X182" s="13">
        <v>839</v>
      </c>
      <c r="Y182" s="16">
        <f>Table1[[#This Row],[LOAD K.M]]+Table1[[#This Row],[EMPTY K.M]]</f>
        <v>2072</v>
      </c>
      <c r="Z182" s="16">
        <f>Table1[[#This Row],[INVOICE AMOUNT2]]-Table1[[#This Row],[Total Exp.]]</f>
        <v>63572</v>
      </c>
      <c r="AA182" s="13">
        <f>Table1[[#This Row],[Total Exp.]]/Table1[[#This Row],[Total k.m]]</f>
        <v>39.395752895752899</v>
      </c>
      <c r="AB182" s="26">
        <f>Table1[[#This Row],[Profit/loss]]/Table1[[#This Row],[Total k.m]]</f>
        <v>30.68146718146718</v>
      </c>
      <c r="AC182" s="12">
        <f>Table1[[#This Row],[INVOICE AMOUNT2]]/Table1[[#This Row],[Total k.m]]</f>
        <v>70.077220077220076</v>
      </c>
    </row>
    <row r="183" spans="1:29" x14ac:dyDescent="0.3">
      <c r="A183" s="12">
        <v>181</v>
      </c>
      <c r="B183" s="25" t="s">
        <v>394</v>
      </c>
      <c r="C183" s="12" t="s">
        <v>93</v>
      </c>
      <c r="D183" s="10">
        <v>45955</v>
      </c>
      <c r="E183" s="24" t="s">
        <v>393</v>
      </c>
      <c r="F183" s="12" t="s">
        <v>35</v>
      </c>
      <c r="G183" s="12" t="s">
        <v>36</v>
      </c>
      <c r="H183" s="12" t="s">
        <v>395</v>
      </c>
      <c r="I183" s="14">
        <v>8</v>
      </c>
      <c r="J183" s="15">
        <v>46530</v>
      </c>
      <c r="K183" s="21">
        <v>20057</v>
      </c>
      <c r="L183" s="47">
        <v>5196.6000000000004</v>
      </c>
      <c r="M183" s="12">
        <v>2500</v>
      </c>
      <c r="N183" s="12"/>
      <c r="O183" s="12"/>
      <c r="P183" s="12">
        <v>2000</v>
      </c>
      <c r="Q183" s="12">
        <v>1000</v>
      </c>
      <c r="R183" s="12"/>
      <c r="S183" s="12"/>
      <c r="T183" s="12"/>
      <c r="U183" s="12"/>
      <c r="V183" s="16">
        <f t="shared" si="2"/>
        <v>30753.599999999999</v>
      </c>
      <c r="W183" s="12">
        <v>348</v>
      </c>
      <c r="X183" s="12">
        <v>419</v>
      </c>
      <c r="Y183" s="16">
        <f>Table1[[#This Row],[LOAD K.M]]+Table1[[#This Row],[EMPTY K.M]]</f>
        <v>767</v>
      </c>
      <c r="Z183" s="16">
        <f>Table1[[#This Row],[INVOICE AMOUNT2]]-Table1[[#This Row],[Total Exp.]]</f>
        <v>15776.400000000001</v>
      </c>
      <c r="AA183" s="12">
        <f>Table1[[#This Row],[Total Exp.]]/Table1[[#This Row],[Total k.m]]</f>
        <v>40.095958279009125</v>
      </c>
      <c r="AB183" s="17">
        <f>Table1[[#This Row],[Profit/loss]]/Table1[[#This Row],[Total k.m]]</f>
        <v>20.568970013037813</v>
      </c>
      <c r="AC183" s="12">
        <f>Table1[[#This Row],[INVOICE AMOUNT2]]/Table1[[#This Row],[Total k.m]]</f>
        <v>60.664928292046937</v>
      </c>
    </row>
    <row r="184" spans="1:29" x14ac:dyDescent="0.3">
      <c r="A184" s="51">
        <v>182</v>
      </c>
      <c r="B184" s="52" t="s">
        <v>396</v>
      </c>
      <c r="C184" s="12" t="s">
        <v>77</v>
      </c>
      <c r="D184" s="10">
        <v>45955</v>
      </c>
      <c r="E184" s="24" t="s">
        <v>393</v>
      </c>
      <c r="F184" s="12" t="s">
        <v>35</v>
      </c>
      <c r="G184" s="12" t="s">
        <v>36</v>
      </c>
      <c r="H184" s="12" t="s">
        <v>226</v>
      </c>
      <c r="I184" s="14">
        <v>8</v>
      </c>
      <c r="J184" s="15">
        <v>91512</v>
      </c>
      <c r="K184" s="21">
        <v>35167</v>
      </c>
      <c r="L184" s="12">
        <v>18672</v>
      </c>
      <c r="M184" s="12">
        <v>5000</v>
      </c>
      <c r="N184" s="12"/>
      <c r="O184" s="12"/>
      <c r="P184" s="12">
        <v>2000</v>
      </c>
      <c r="Q184" s="12">
        <v>1000</v>
      </c>
      <c r="R184" s="12"/>
      <c r="S184" s="12"/>
      <c r="T184" s="12"/>
      <c r="U184" s="12">
        <v>2640</v>
      </c>
      <c r="V184" s="16">
        <f t="shared" si="2"/>
        <v>64479</v>
      </c>
      <c r="W184" s="12">
        <v>702</v>
      </c>
      <c r="X184" s="12">
        <v>628</v>
      </c>
      <c r="Y184" s="16">
        <f>Table1[[#This Row],[LOAD K.M]]+Table1[[#This Row],[EMPTY K.M]]</f>
        <v>1330</v>
      </c>
      <c r="Z184" s="16">
        <f>Table1[[#This Row],[INVOICE AMOUNT2]]-Table1[[#This Row],[Total Exp.]]</f>
        <v>27033</v>
      </c>
      <c r="AA184" s="12">
        <f>Table1[[#This Row],[Total Exp.]]/Table1[[#This Row],[Total k.m]]</f>
        <v>48.480451127819549</v>
      </c>
      <c r="AB184" s="17">
        <f>Table1[[#This Row],[Profit/loss]]/Table1[[#This Row],[Total k.m]]</f>
        <v>20.325563909774438</v>
      </c>
      <c r="AC184" s="12">
        <f>Table1[[#This Row],[INVOICE AMOUNT2]]/Table1[[#This Row],[Total k.m]]</f>
        <v>68.80601503759398</v>
      </c>
    </row>
    <row r="185" spans="1:29" x14ac:dyDescent="0.3">
      <c r="A185" s="12">
        <v>183</v>
      </c>
      <c r="B185" s="25" t="s">
        <v>397</v>
      </c>
      <c r="C185" s="12" t="s">
        <v>82</v>
      </c>
      <c r="D185" s="10">
        <v>45955</v>
      </c>
      <c r="E185" s="24" t="s">
        <v>393</v>
      </c>
      <c r="F185" s="12" t="s">
        <v>35</v>
      </c>
      <c r="G185" s="12" t="s">
        <v>250</v>
      </c>
      <c r="H185" s="12" t="s">
        <v>66</v>
      </c>
      <c r="I185" s="14">
        <v>8</v>
      </c>
      <c r="J185" s="15">
        <v>114487</v>
      </c>
      <c r="K185" s="21">
        <v>55979</v>
      </c>
      <c r="L185" s="12">
        <v>18465</v>
      </c>
      <c r="M185" s="12">
        <v>7000</v>
      </c>
      <c r="N185" s="12"/>
      <c r="O185" s="12"/>
      <c r="P185" s="12">
        <v>2000</v>
      </c>
      <c r="Q185" s="12">
        <v>1500</v>
      </c>
      <c r="R185" s="12"/>
      <c r="S185" s="12">
        <v>1000</v>
      </c>
      <c r="T185" s="12"/>
      <c r="U185" s="12">
        <v>2640</v>
      </c>
      <c r="V185" s="16">
        <f t="shared" si="2"/>
        <v>88584</v>
      </c>
      <c r="W185" s="12">
        <v>2032</v>
      </c>
      <c r="X185" s="12">
        <v>14</v>
      </c>
      <c r="Y185" s="16">
        <f>Table1[[#This Row],[LOAD K.M]]+Table1[[#This Row],[EMPTY K.M]]</f>
        <v>2046</v>
      </c>
      <c r="Z185" s="16">
        <f>Table1[[#This Row],[INVOICE AMOUNT2]]-Table1[[#This Row],[Total Exp.]]</f>
        <v>25903</v>
      </c>
      <c r="AA185" s="12">
        <f>Table1[[#This Row],[Total Exp.]]/Table1[[#This Row],[Total k.m]]</f>
        <v>43.296187683284458</v>
      </c>
      <c r="AB185" s="17">
        <f>Table1[[#This Row],[Profit/loss]]/Table1[[#This Row],[Total k.m]]</f>
        <v>12.660312805474096</v>
      </c>
      <c r="AC185" s="12">
        <f>Table1[[#This Row],[INVOICE AMOUNT2]]/Table1[[#This Row],[Total k.m]]</f>
        <v>55.95650048875855</v>
      </c>
    </row>
    <row r="186" spans="1:29" x14ac:dyDescent="0.3">
      <c r="A186" s="51">
        <v>184</v>
      </c>
      <c r="B186" s="52" t="s">
        <v>398</v>
      </c>
      <c r="C186" s="12" t="s">
        <v>105</v>
      </c>
      <c r="D186" s="10">
        <v>45955</v>
      </c>
      <c r="E186" s="24" t="s">
        <v>399</v>
      </c>
      <c r="F186" s="12" t="s">
        <v>35</v>
      </c>
      <c r="G186" s="12" t="s">
        <v>99</v>
      </c>
      <c r="H186" s="12" t="s">
        <v>100</v>
      </c>
      <c r="I186" s="14">
        <v>7</v>
      </c>
      <c r="J186" s="15">
        <v>58388</v>
      </c>
      <c r="K186" s="21">
        <v>24240</v>
      </c>
      <c r="L186" s="12">
        <v>10050</v>
      </c>
      <c r="M186" s="12"/>
      <c r="N186" s="12"/>
      <c r="O186" s="12"/>
      <c r="P186" s="12">
        <v>2000</v>
      </c>
      <c r="Q186" s="12">
        <v>1000</v>
      </c>
      <c r="R186" s="12"/>
      <c r="S186" s="12"/>
      <c r="T186" s="12"/>
      <c r="U186" s="12"/>
      <c r="V186" s="16">
        <f t="shared" si="2"/>
        <v>37290</v>
      </c>
      <c r="W186" s="12">
        <v>560</v>
      </c>
      <c r="X186" s="12">
        <v>385</v>
      </c>
      <c r="Y186" s="16">
        <f>Table1[[#This Row],[LOAD K.M]]+Table1[[#This Row],[EMPTY K.M]]</f>
        <v>945</v>
      </c>
      <c r="Z186" s="16">
        <f>Table1[[#This Row],[INVOICE AMOUNT2]]-Table1[[#This Row],[Total Exp.]]</f>
        <v>21098</v>
      </c>
      <c r="AA186" s="12">
        <f>Table1[[#This Row],[Total Exp.]]/Table1[[#This Row],[Total k.m]]</f>
        <v>39.460317460317462</v>
      </c>
      <c r="AB186" s="17">
        <f>Table1[[#This Row],[Profit/loss]]/Table1[[#This Row],[Total k.m]]</f>
        <v>22.325925925925926</v>
      </c>
      <c r="AC186" s="12">
        <f>Table1[[#This Row],[INVOICE AMOUNT2]]/Table1[[#This Row],[Total k.m]]</f>
        <v>61.786243386243385</v>
      </c>
    </row>
    <row r="187" spans="1:29" x14ac:dyDescent="0.3">
      <c r="A187" s="12">
        <v>185</v>
      </c>
      <c r="B187" s="25" t="s">
        <v>400</v>
      </c>
      <c r="C187" s="12" t="s">
        <v>98</v>
      </c>
      <c r="D187" s="10">
        <v>45955</v>
      </c>
      <c r="E187" s="24" t="s">
        <v>401</v>
      </c>
      <c r="F187" s="12" t="s">
        <v>35</v>
      </c>
      <c r="G187" s="12" t="s">
        <v>99</v>
      </c>
      <c r="H187" s="12" t="s">
        <v>402</v>
      </c>
      <c r="I187" s="14">
        <v>7</v>
      </c>
      <c r="J187" s="15">
        <v>58090</v>
      </c>
      <c r="K187" s="21">
        <v>22054</v>
      </c>
      <c r="L187" s="38">
        <v>9090</v>
      </c>
      <c r="M187" s="12"/>
      <c r="N187" s="12"/>
      <c r="O187" s="12"/>
      <c r="P187" s="12">
        <v>2000</v>
      </c>
      <c r="Q187" s="12">
        <v>1000</v>
      </c>
      <c r="R187" s="12"/>
      <c r="S187" s="12"/>
      <c r="T187" s="12"/>
      <c r="U187" s="12">
        <v>2640</v>
      </c>
      <c r="V187" s="16">
        <f t="shared" si="2"/>
        <v>36784</v>
      </c>
      <c r="W187" s="12">
        <v>558</v>
      </c>
      <c r="X187" s="12">
        <v>297</v>
      </c>
      <c r="Y187" s="16">
        <f>Table1[[#This Row],[LOAD K.M]]+Table1[[#This Row],[EMPTY K.M]]</f>
        <v>855</v>
      </c>
      <c r="Z187" s="16">
        <f>Table1[[#This Row],[INVOICE AMOUNT2]]-Table1[[#This Row],[Total Exp.]]</f>
        <v>21306</v>
      </c>
      <c r="AA187" s="12">
        <f>Table1[[#This Row],[Total Exp.]]/Table1[[#This Row],[Total k.m]]</f>
        <v>43.022222222222226</v>
      </c>
      <c r="AB187" s="17">
        <f>Table1[[#This Row],[Profit/loss]]/Table1[[#This Row],[Total k.m]]</f>
        <v>24.919298245614034</v>
      </c>
      <c r="AC187" s="12">
        <f>Table1[[#This Row],[INVOICE AMOUNT2]]/Table1[[#This Row],[Total k.m]]</f>
        <v>67.941520467836256</v>
      </c>
    </row>
    <row r="188" spans="1:29" x14ac:dyDescent="0.3">
      <c r="A188" s="51">
        <v>186</v>
      </c>
      <c r="B188" s="52" t="s">
        <v>403</v>
      </c>
      <c r="C188" s="12" t="s">
        <v>46</v>
      </c>
      <c r="D188" s="10">
        <v>45955</v>
      </c>
      <c r="E188" s="24" t="s">
        <v>401</v>
      </c>
      <c r="F188" s="12" t="s">
        <v>35</v>
      </c>
      <c r="G188" s="12" t="s">
        <v>36</v>
      </c>
      <c r="H188" s="12" t="s">
        <v>70</v>
      </c>
      <c r="I188" s="14">
        <v>8</v>
      </c>
      <c r="J188" s="15">
        <v>151372</v>
      </c>
      <c r="K188" s="21">
        <v>58940</v>
      </c>
      <c r="L188" s="12">
        <v>16254</v>
      </c>
      <c r="M188" s="12">
        <v>4500</v>
      </c>
      <c r="N188" s="12"/>
      <c r="O188" s="12"/>
      <c r="P188" s="12">
        <v>2000</v>
      </c>
      <c r="Q188" s="12">
        <v>1000</v>
      </c>
      <c r="R188" s="12"/>
      <c r="S188" s="12">
        <v>1500</v>
      </c>
      <c r="T188" s="12">
        <v>470</v>
      </c>
      <c r="U188" s="12">
        <v>2640</v>
      </c>
      <c r="V188" s="16">
        <f t="shared" si="2"/>
        <v>87304</v>
      </c>
      <c r="W188" s="12">
        <v>1310</v>
      </c>
      <c r="X188" s="12">
        <v>856</v>
      </c>
      <c r="Y188" s="16">
        <f>Table1[[#This Row],[LOAD K.M]]+Table1[[#This Row],[EMPTY K.M]]</f>
        <v>2166</v>
      </c>
      <c r="Z188" s="16">
        <f>Table1[[#This Row],[INVOICE AMOUNT2]]-Table1[[#This Row],[Total Exp.]]</f>
        <v>64068</v>
      </c>
      <c r="AA188" s="12">
        <f>Table1[[#This Row],[Total Exp.]]/Table1[[#This Row],[Total k.m]]</f>
        <v>40.306555863342567</v>
      </c>
      <c r="AB188" s="17">
        <f>Table1[[#This Row],[Profit/loss]]/Table1[[#This Row],[Total k.m]]</f>
        <v>29.578947368421051</v>
      </c>
      <c r="AC188" s="12">
        <f>Table1[[#This Row],[INVOICE AMOUNT2]]/Table1[[#This Row],[Total k.m]]</f>
        <v>69.885503231763622</v>
      </c>
    </row>
    <row r="189" spans="1:29" x14ac:dyDescent="0.3">
      <c r="A189" s="12">
        <v>187</v>
      </c>
      <c r="B189" s="25" t="s">
        <v>404</v>
      </c>
      <c r="C189" s="12" t="s">
        <v>134</v>
      </c>
      <c r="D189" s="10">
        <v>45955</v>
      </c>
      <c r="E189" s="24" t="s">
        <v>401</v>
      </c>
      <c r="F189" s="12" t="s">
        <v>65</v>
      </c>
      <c r="G189" s="12" t="s">
        <v>36</v>
      </c>
      <c r="H189" s="12" t="s">
        <v>243</v>
      </c>
      <c r="I189" s="14">
        <v>7</v>
      </c>
      <c r="J189" s="15">
        <v>104622</v>
      </c>
      <c r="K189" s="21">
        <v>50642</v>
      </c>
      <c r="L189" s="12">
        <v>18397</v>
      </c>
      <c r="M189" s="12">
        <v>6500</v>
      </c>
      <c r="N189" s="12"/>
      <c r="O189" s="12">
        <v>490</v>
      </c>
      <c r="P189" s="12">
        <v>2000</v>
      </c>
      <c r="Q189" s="12">
        <v>1000</v>
      </c>
      <c r="R189" s="12"/>
      <c r="S189" s="12">
        <v>400</v>
      </c>
      <c r="T189" s="12"/>
      <c r="U189" s="12">
        <v>2440</v>
      </c>
      <c r="V189" s="16">
        <f t="shared" si="2"/>
        <v>81869</v>
      </c>
      <c r="W189" s="12">
        <v>1203</v>
      </c>
      <c r="X189" s="12">
        <v>703</v>
      </c>
      <c r="Y189" s="16">
        <f>Table1[[#This Row],[LOAD K.M]]+Table1[[#This Row],[EMPTY K.M]]</f>
        <v>1906</v>
      </c>
      <c r="Z189" s="16">
        <f>Table1[[#This Row],[INVOICE AMOUNT2]]-Table1[[#This Row],[Total Exp.]]</f>
        <v>22753</v>
      </c>
      <c r="AA189" s="12">
        <f>Table1[[#This Row],[Total Exp.]]/Table1[[#This Row],[Total k.m]]</f>
        <v>42.953305351521514</v>
      </c>
      <c r="AB189" s="17">
        <f>Table1[[#This Row],[Profit/loss]]/Table1[[#This Row],[Total k.m]]</f>
        <v>11.937565582371459</v>
      </c>
      <c r="AC189" s="12">
        <f>Table1[[#This Row],[INVOICE AMOUNT2]]/Table1[[#This Row],[Total k.m]]</f>
        <v>54.89087093389297</v>
      </c>
    </row>
    <row r="190" spans="1:29" x14ac:dyDescent="0.3">
      <c r="A190" s="51">
        <v>188</v>
      </c>
      <c r="B190" s="52" t="s">
        <v>405</v>
      </c>
      <c r="C190" s="12" t="s">
        <v>87</v>
      </c>
      <c r="D190" s="10">
        <v>45955</v>
      </c>
      <c r="E190" s="24" t="s">
        <v>401</v>
      </c>
      <c r="F190" s="12" t="s">
        <v>65</v>
      </c>
      <c r="G190" s="12" t="s">
        <v>36</v>
      </c>
      <c r="H190" s="12" t="s">
        <v>406</v>
      </c>
      <c r="I190" s="14">
        <v>7</v>
      </c>
      <c r="J190" s="15">
        <v>147784</v>
      </c>
      <c r="K190" s="27">
        <v>54606</v>
      </c>
      <c r="L190" s="12">
        <v>15703</v>
      </c>
      <c r="M190" s="12">
        <v>4500</v>
      </c>
      <c r="N190" s="12"/>
      <c r="O190" s="12"/>
      <c r="P190" s="12">
        <v>2000</v>
      </c>
      <c r="Q190" s="12">
        <v>1000</v>
      </c>
      <c r="R190" s="12"/>
      <c r="S190" s="12"/>
      <c r="T190" s="12">
        <v>3700</v>
      </c>
      <c r="U190" s="12"/>
      <c r="V190" s="16">
        <f t="shared" si="2"/>
        <v>81509</v>
      </c>
      <c r="W190" s="12">
        <v>1685</v>
      </c>
      <c r="X190" s="12">
        <v>330</v>
      </c>
      <c r="Y190" s="16">
        <f>Table1[[#This Row],[LOAD K.M]]+Table1[[#This Row],[EMPTY K.M]]</f>
        <v>2015</v>
      </c>
      <c r="Z190" s="16">
        <f>Table1[[#This Row],[INVOICE AMOUNT2]]-Table1[[#This Row],[Total Exp.]]</f>
        <v>66275</v>
      </c>
      <c r="AA190" s="12">
        <f>Table1[[#This Row],[Total Exp.]]/Table1[[#This Row],[Total k.m]]</f>
        <v>40.451116625310171</v>
      </c>
      <c r="AB190" s="17">
        <f>Table1[[#This Row],[Profit/loss]]/Table1[[#This Row],[Total k.m]]</f>
        <v>32.890818858560792</v>
      </c>
      <c r="AC190" s="12">
        <f>Table1[[#This Row],[INVOICE AMOUNT2]]/Table1[[#This Row],[Total k.m]]</f>
        <v>73.341935483870969</v>
      </c>
    </row>
    <row r="191" spans="1:29" x14ac:dyDescent="0.3">
      <c r="A191" s="12">
        <v>189</v>
      </c>
      <c r="B191" s="25" t="s">
        <v>407</v>
      </c>
      <c r="C191" s="12" t="s">
        <v>93</v>
      </c>
      <c r="D191" s="10">
        <v>45955</v>
      </c>
      <c r="E191" s="24" t="s">
        <v>401</v>
      </c>
      <c r="F191" s="12" t="s">
        <v>65</v>
      </c>
      <c r="G191" s="12" t="s">
        <v>36</v>
      </c>
      <c r="H191" s="12" t="s">
        <v>103</v>
      </c>
      <c r="I191" s="14">
        <v>8</v>
      </c>
      <c r="J191" s="15">
        <v>148047</v>
      </c>
      <c r="K191" s="21">
        <v>33184</v>
      </c>
      <c r="L191" s="21">
        <v>10543.3</v>
      </c>
      <c r="M191" s="12">
        <v>4500</v>
      </c>
      <c r="N191" s="12"/>
      <c r="O191" s="12"/>
      <c r="P191" s="12">
        <v>2000</v>
      </c>
      <c r="Q191" s="12">
        <v>1000</v>
      </c>
      <c r="R191" s="12"/>
      <c r="S191" s="12"/>
      <c r="T191" s="12"/>
      <c r="U191" s="12">
        <v>1320</v>
      </c>
      <c r="V191" s="16">
        <f t="shared" si="2"/>
        <v>52547.3</v>
      </c>
      <c r="W191" s="12">
        <v>941</v>
      </c>
      <c r="X191" s="12">
        <v>279</v>
      </c>
      <c r="Y191" s="16">
        <f>Table1[[#This Row],[LOAD K.M]]+Table1[[#This Row],[EMPTY K.M]]</f>
        <v>1220</v>
      </c>
      <c r="Z191" s="16">
        <f>Table1[[#This Row],[INVOICE AMOUNT2]]-Table1[[#This Row],[Total Exp.]]</f>
        <v>95499.7</v>
      </c>
      <c r="AA191" s="12">
        <f>Table1[[#This Row],[Total Exp.]]/Table1[[#This Row],[Total k.m]]</f>
        <v>43.071557377049182</v>
      </c>
      <c r="AB191" s="17">
        <f>Table1[[#This Row],[Profit/loss]]/Table1[[#This Row],[Total k.m]]</f>
        <v>78.27844262295082</v>
      </c>
      <c r="AC191" s="12">
        <f>Table1[[#This Row],[INVOICE AMOUNT2]]/Table1[[#This Row],[Total k.m]]</f>
        <v>121.35</v>
      </c>
    </row>
    <row r="192" spans="1:29" x14ac:dyDescent="0.3">
      <c r="A192" s="51">
        <v>190</v>
      </c>
      <c r="B192" s="52" t="s">
        <v>408</v>
      </c>
      <c r="C192" s="12" t="s">
        <v>109</v>
      </c>
      <c r="D192" s="10">
        <v>45955</v>
      </c>
      <c r="E192" s="24" t="s">
        <v>401</v>
      </c>
      <c r="F192" s="12" t="s">
        <v>65</v>
      </c>
      <c r="G192" s="12" t="s">
        <v>66</v>
      </c>
      <c r="H192" s="12" t="s">
        <v>96</v>
      </c>
      <c r="I192" s="14">
        <v>8</v>
      </c>
      <c r="J192" s="15">
        <v>147139</v>
      </c>
      <c r="K192" s="21">
        <v>56747</v>
      </c>
      <c r="L192" s="12">
        <v>17201</v>
      </c>
      <c r="M192" s="12">
        <v>6000</v>
      </c>
      <c r="N192" s="12"/>
      <c r="O192" s="12"/>
      <c r="P192" s="12">
        <v>2000</v>
      </c>
      <c r="Q192" s="12">
        <v>1000</v>
      </c>
      <c r="R192" s="12"/>
      <c r="S192" s="12">
        <v>450</v>
      </c>
      <c r="T192" s="12">
        <v>130</v>
      </c>
      <c r="U192" s="12">
        <v>1320</v>
      </c>
      <c r="V192" s="16">
        <f t="shared" si="2"/>
        <v>84848</v>
      </c>
      <c r="W192" s="12">
        <v>1724</v>
      </c>
      <c r="X192" s="12">
        <v>337</v>
      </c>
      <c r="Y192" s="16">
        <f>Table1[[#This Row],[LOAD K.M]]+Table1[[#This Row],[EMPTY K.M]]</f>
        <v>2061</v>
      </c>
      <c r="Z192" s="16">
        <f>Table1[[#This Row],[INVOICE AMOUNT2]]-Table1[[#This Row],[Total Exp.]]</f>
        <v>62291</v>
      </c>
      <c r="AA192" s="12">
        <f>Table1[[#This Row],[Total Exp.]]/Table1[[#This Row],[Total k.m]]</f>
        <v>41.168364871421637</v>
      </c>
      <c r="AB192" s="17">
        <f>Table1[[#This Row],[Profit/loss]]/Table1[[#This Row],[Total k.m]]</f>
        <v>30.223677826297912</v>
      </c>
      <c r="AC192" s="12">
        <f>Table1[[#This Row],[INVOICE AMOUNT2]]/Table1[[#This Row],[Total k.m]]</f>
        <v>71.39204269771956</v>
      </c>
    </row>
    <row r="193" spans="1:29" x14ac:dyDescent="0.3">
      <c r="A193" s="12">
        <v>191</v>
      </c>
      <c r="B193" s="25" t="s">
        <v>409</v>
      </c>
      <c r="C193" s="12" t="s">
        <v>95</v>
      </c>
      <c r="D193" s="10">
        <v>45955</v>
      </c>
      <c r="E193" s="24" t="s">
        <v>401</v>
      </c>
      <c r="F193" s="12" t="s">
        <v>65</v>
      </c>
      <c r="G193" s="12" t="s">
        <v>66</v>
      </c>
      <c r="H193" s="12" t="s">
        <v>410</v>
      </c>
      <c r="I193" s="14">
        <v>8</v>
      </c>
      <c r="J193" s="15">
        <v>138010</v>
      </c>
      <c r="K193" s="21">
        <v>53011</v>
      </c>
      <c r="L193" s="21">
        <v>16671.599999999999</v>
      </c>
      <c r="M193" s="12">
        <v>6000</v>
      </c>
      <c r="N193" s="12"/>
      <c r="O193" s="12"/>
      <c r="P193" s="12">
        <v>2000</v>
      </c>
      <c r="Q193" s="12">
        <v>1000</v>
      </c>
      <c r="R193" s="12"/>
      <c r="S193" s="12">
        <v>300</v>
      </c>
      <c r="T193" s="12"/>
      <c r="U193" s="12">
        <v>2640</v>
      </c>
      <c r="V193" s="16">
        <f t="shared" si="2"/>
        <v>81622.600000000006</v>
      </c>
      <c r="W193" s="12">
        <v>1843</v>
      </c>
      <c r="X193" s="12">
        <v>69</v>
      </c>
      <c r="Y193" s="16">
        <f>Table1[[#This Row],[LOAD K.M]]+Table1[[#This Row],[EMPTY K.M]]</f>
        <v>1912</v>
      </c>
      <c r="Z193" s="16">
        <f>Table1[[#This Row],[INVOICE AMOUNT2]]-Table1[[#This Row],[Total Exp.]]</f>
        <v>56387.399999999994</v>
      </c>
      <c r="AA193" s="12">
        <f>Table1[[#This Row],[Total Exp.]]/Table1[[#This Row],[Total k.m]]</f>
        <v>42.689644351464437</v>
      </c>
      <c r="AB193" s="17">
        <f>Table1[[#This Row],[Profit/loss]]/Table1[[#This Row],[Total k.m]]</f>
        <v>29.491317991631796</v>
      </c>
      <c r="AC193" s="12">
        <f>Table1[[#This Row],[INVOICE AMOUNT2]]/Table1[[#This Row],[Total k.m]]</f>
        <v>72.18096234309624</v>
      </c>
    </row>
    <row r="194" spans="1:29" x14ac:dyDescent="0.3">
      <c r="A194" s="13">
        <v>192</v>
      </c>
      <c r="B194" s="25" t="s">
        <v>411</v>
      </c>
      <c r="C194" s="12" t="s">
        <v>75</v>
      </c>
      <c r="D194" s="10">
        <v>45955</v>
      </c>
      <c r="E194" s="24" t="s">
        <v>401</v>
      </c>
      <c r="F194" s="12" t="s">
        <v>35</v>
      </c>
      <c r="G194" s="12" t="s">
        <v>250</v>
      </c>
      <c r="H194" s="12" t="s">
        <v>66</v>
      </c>
      <c r="I194" s="14">
        <v>8</v>
      </c>
      <c r="J194" s="15">
        <v>164811</v>
      </c>
      <c r="K194" s="21">
        <v>56901</v>
      </c>
      <c r="L194" s="12">
        <v>18175</v>
      </c>
      <c r="M194" s="12">
        <v>7500</v>
      </c>
      <c r="N194" s="12"/>
      <c r="O194" s="12"/>
      <c r="P194" s="12">
        <v>2000</v>
      </c>
      <c r="Q194" s="12">
        <v>1500</v>
      </c>
      <c r="R194" s="12"/>
      <c r="S194" s="12">
        <v>1400</v>
      </c>
      <c r="T194" s="12"/>
      <c r="U194" s="12">
        <v>1320</v>
      </c>
      <c r="V194" s="16">
        <f t="shared" si="2"/>
        <v>88796</v>
      </c>
      <c r="W194" s="12">
        <v>2070</v>
      </c>
      <c r="X194" s="12">
        <v>25</v>
      </c>
      <c r="Y194" s="16">
        <f>Table1[[#This Row],[LOAD K.M]]+Table1[[#This Row],[EMPTY K.M]]</f>
        <v>2095</v>
      </c>
      <c r="Z194" s="16">
        <f>Table1[[#This Row],[INVOICE AMOUNT2]]-Table1[[#This Row],[Total Exp.]]</f>
        <v>76015</v>
      </c>
      <c r="AA194" s="12">
        <f>Table1[[#This Row],[Total Exp.]]/Table1[[#This Row],[Total k.m]]</f>
        <v>42.384725536992839</v>
      </c>
      <c r="AB194" s="17">
        <f>Table1[[#This Row],[Profit/loss]]/Table1[[#This Row],[Total k.m]]</f>
        <v>36.28400954653938</v>
      </c>
      <c r="AC194" s="12">
        <f>Table1[[#This Row],[INVOICE AMOUNT2]]/Table1[[#This Row],[Total k.m]]</f>
        <v>78.668735083532226</v>
      </c>
    </row>
    <row r="195" spans="1:29" x14ac:dyDescent="0.3">
      <c r="A195" s="12">
        <v>193</v>
      </c>
      <c r="B195" s="25" t="s">
        <v>412</v>
      </c>
      <c r="C195" s="13" t="s">
        <v>69</v>
      </c>
      <c r="D195" s="10">
        <v>45955</v>
      </c>
      <c r="E195" s="11" t="s">
        <v>401</v>
      </c>
      <c r="F195" s="13" t="s">
        <v>35</v>
      </c>
      <c r="G195" s="13" t="s">
        <v>250</v>
      </c>
      <c r="H195" s="13" t="s">
        <v>240</v>
      </c>
      <c r="I195" s="14">
        <v>8</v>
      </c>
      <c r="J195" s="15">
        <v>59018</v>
      </c>
      <c r="K195" s="27">
        <v>25738</v>
      </c>
      <c r="L195" s="12">
        <v>11096</v>
      </c>
      <c r="M195" s="12">
        <v>3500</v>
      </c>
      <c r="N195" s="12"/>
      <c r="O195" s="12"/>
      <c r="P195" s="12">
        <v>2000</v>
      </c>
      <c r="Q195" s="12">
        <v>1000</v>
      </c>
      <c r="R195" s="12"/>
      <c r="S195" s="12">
        <v>1400</v>
      </c>
      <c r="T195" s="12"/>
      <c r="U195" s="12">
        <v>1490</v>
      </c>
      <c r="V195" s="16">
        <f t="shared" si="2"/>
        <v>46224</v>
      </c>
      <c r="W195" s="12">
        <v>498</v>
      </c>
      <c r="X195" s="12">
        <v>484</v>
      </c>
      <c r="Y195" s="16">
        <f>Table1[[#This Row],[LOAD K.M]]+Table1[[#This Row],[EMPTY K.M]]</f>
        <v>982</v>
      </c>
      <c r="Z195" s="16">
        <f>Table1[[#This Row],[INVOICE AMOUNT2]]-Table1[[#This Row],[Total Exp.]]</f>
        <v>12794</v>
      </c>
      <c r="AA195" s="12">
        <f>Table1[[#This Row],[Total Exp.]]/Table1[[#This Row],[Total k.m]]</f>
        <v>47.071283095723011</v>
      </c>
      <c r="AB195" s="17">
        <f>Table1[[#This Row],[Profit/loss]]/Table1[[#This Row],[Total k.m]]</f>
        <v>13.028513238289205</v>
      </c>
      <c r="AC195" s="12">
        <f>Table1[[#This Row],[INVOICE AMOUNT2]]/Table1[[#This Row],[Total k.m]]</f>
        <v>60.099796334012218</v>
      </c>
    </row>
    <row r="196" spans="1:29" x14ac:dyDescent="0.3">
      <c r="A196" s="13">
        <v>194</v>
      </c>
      <c r="B196" s="25" t="s">
        <v>413</v>
      </c>
      <c r="C196" s="12" t="s">
        <v>59</v>
      </c>
      <c r="D196" s="10">
        <v>45986</v>
      </c>
      <c r="E196" s="24" t="s">
        <v>414</v>
      </c>
      <c r="F196" s="12" t="s">
        <v>65</v>
      </c>
      <c r="G196" s="12" t="s">
        <v>66</v>
      </c>
      <c r="H196" s="12" t="s">
        <v>229</v>
      </c>
      <c r="I196" s="14">
        <v>8</v>
      </c>
      <c r="J196" s="15">
        <v>159088</v>
      </c>
      <c r="K196" s="21">
        <v>68233</v>
      </c>
      <c r="L196" s="12">
        <v>27228</v>
      </c>
      <c r="M196" s="12">
        <v>12000</v>
      </c>
      <c r="N196" s="12"/>
      <c r="O196" s="12"/>
      <c r="P196" s="12">
        <v>2000</v>
      </c>
      <c r="Q196" s="12">
        <v>1000</v>
      </c>
      <c r="R196" s="12"/>
      <c r="S196" s="12">
        <v>750</v>
      </c>
      <c r="T196" s="12"/>
      <c r="U196" s="12"/>
      <c r="V196" s="16">
        <f t="shared" ref="V196:V259" si="3">SUM(K196:U196)</f>
        <v>111211</v>
      </c>
      <c r="W196" s="12">
        <v>1880</v>
      </c>
      <c r="X196" s="12">
        <v>611</v>
      </c>
      <c r="Y196" s="16">
        <f>Table1[[#This Row],[LOAD K.M]]+Table1[[#This Row],[EMPTY K.M]]</f>
        <v>2491</v>
      </c>
      <c r="Z196" s="16">
        <f>Table1[[#This Row],[INVOICE AMOUNT2]]-Table1[[#This Row],[Total Exp.]]</f>
        <v>47877</v>
      </c>
      <c r="AA196" s="12">
        <f>Table1[[#This Row],[Total Exp.]]/Table1[[#This Row],[Total k.m]]</f>
        <v>44.645122440786835</v>
      </c>
      <c r="AB196" s="17">
        <f>Table1[[#This Row],[Profit/loss]]/Table1[[#This Row],[Total k.m]]</f>
        <v>19.219991971095947</v>
      </c>
      <c r="AC196" s="12">
        <f>Table1[[#This Row],[INVOICE AMOUNT2]]/Table1[[#This Row],[Total k.m]]</f>
        <v>63.865114411882779</v>
      </c>
    </row>
    <row r="197" spans="1:29" x14ac:dyDescent="0.3">
      <c r="A197" s="13">
        <v>195</v>
      </c>
      <c r="B197" s="25" t="s">
        <v>415</v>
      </c>
      <c r="C197" s="12" t="s">
        <v>77</v>
      </c>
      <c r="D197" s="10">
        <v>45986</v>
      </c>
      <c r="E197" s="24" t="s">
        <v>414</v>
      </c>
      <c r="F197" s="12" t="s">
        <v>35</v>
      </c>
      <c r="G197" s="12" t="s">
        <v>36</v>
      </c>
      <c r="H197" s="12" t="s">
        <v>179</v>
      </c>
      <c r="I197" s="14">
        <v>8</v>
      </c>
      <c r="J197" s="15">
        <v>151560</v>
      </c>
      <c r="K197" s="21">
        <v>59686</v>
      </c>
      <c r="L197" s="12">
        <v>22439</v>
      </c>
      <c r="M197" s="12">
        <v>6500</v>
      </c>
      <c r="N197" s="12"/>
      <c r="O197" s="12"/>
      <c r="P197" s="12">
        <v>2000</v>
      </c>
      <c r="Q197" s="12">
        <v>1000</v>
      </c>
      <c r="R197" s="12"/>
      <c r="S197" s="12">
        <v>200</v>
      </c>
      <c r="T197" s="12"/>
      <c r="U197" s="12">
        <v>2097</v>
      </c>
      <c r="V197" s="16">
        <f t="shared" si="3"/>
        <v>93922</v>
      </c>
      <c r="W197" s="12">
        <v>1793</v>
      </c>
      <c r="X197" s="12">
        <v>441</v>
      </c>
      <c r="Y197" s="16">
        <f>Table1[[#This Row],[LOAD K.M]]+Table1[[#This Row],[EMPTY K.M]]</f>
        <v>2234</v>
      </c>
      <c r="Z197" s="16">
        <f>Table1[[#This Row],[INVOICE AMOUNT2]]-Table1[[#This Row],[Total Exp.]]</f>
        <v>57638</v>
      </c>
      <c r="AA197" s="12">
        <f>Table1[[#This Row],[Total Exp.]]/Table1[[#This Row],[Total k.m]]</f>
        <v>42.0420769919427</v>
      </c>
      <c r="AB197" s="17">
        <f>Table1[[#This Row],[Profit/loss]]/Table1[[#This Row],[Total k.m]]</f>
        <v>25.800358102059086</v>
      </c>
      <c r="AC197" s="12">
        <f>Table1[[#This Row],[INVOICE AMOUNT2]]/Table1[[#This Row],[Total k.m]]</f>
        <v>67.842435094001786</v>
      </c>
    </row>
    <row r="198" spans="1:29" x14ac:dyDescent="0.3">
      <c r="A198" s="12">
        <v>196</v>
      </c>
      <c r="B198" s="25" t="s">
        <v>416</v>
      </c>
      <c r="C198" s="12" t="s">
        <v>72</v>
      </c>
      <c r="D198" s="10">
        <v>45986</v>
      </c>
      <c r="E198" s="24" t="s">
        <v>414</v>
      </c>
      <c r="F198" s="12" t="s">
        <v>35</v>
      </c>
      <c r="G198" s="12" t="s">
        <v>36</v>
      </c>
      <c r="H198" s="12" t="s">
        <v>417</v>
      </c>
      <c r="I198" s="14">
        <v>8</v>
      </c>
      <c r="J198" s="15">
        <v>205507</v>
      </c>
      <c r="K198" s="21">
        <v>82742</v>
      </c>
      <c r="L198" s="12">
        <v>25927</v>
      </c>
      <c r="M198" s="12">
        <v>6000</v>
      </c>
      <c r="N198" s="12"/>
      <c r="O198" s="12"/>
      <c r="P198" s="12">
        <v>2000</v>
      </c>
      <c r="Q198" s="12">
        <v>1000</v>
      </c>
      <c r="R198" s="12"/>
      <c r="S198" s="12">
        <v>600</v>
      </c>
      <c r="T198" s="12"/>
      <c r="U198" s="12">
        <v>2640</v>
      </c>
      <c r="V198" s="16">
        <f t="shared" si="3"/>
        <v>120909</v>
      </c>
      <c r="W198" s="12">
        <v>1744</v>
      </c>
      <c r="X198" s="12">
        <v>1249</v>
      </c>
      <c r="Y198" s="16">
        <f>Table1[[#This Row],[LOAD K.M]]+Table1[[#This Row],[EMPTY K.M]]</f>
        <v>2993</v>
      </c>
      <c r="Z198" s="16">
        <f>Table1[[#This Row],[INVOICE AMOUNT2]]-Table1[[#This Row],[Total Exp.]]</f>
        <v>84598</v>
      </c>
      <c r="AA198" s="12">
        <f>Table1[[#This Row],[Total Exp.]]/Table1[[#This Row],[Total k.m]]</f>
        <v>40.397260273972606</v>
      </c>
      <c r="AB198" s="17">
        <f>Table1[[#This Row],[Profit/loss]]/Table1[[#This Row],[Total k.m]]</f>
        <v>28.265285666555297</v>
      </c>
      <c r="AC198" s="12">
        <f>Table1[[#This Row],[INVOICE AMOUNT2]]/Table1[[#This Row],[Total k.m]]</f>
        <v>68.662545940527892</v>
      </c>
    </row>
    <row r="199" spans="1:29" x14ac:dyDescent="0.3">
      <c r="A199" s="13">
        <v>197</v>
      </c>
      <c r="B199" s="25" t="s">
        <v>418</v>
      </c>
      <c r="C199" s="12" t="s">
        <v>84</v>
      </c>
      <c r="D199" s="10">
        <v>45986</v>
      </c>
      <c r="E199" s="24" t="s">
        <v>414</v>
      </c>
      <c r="F199" s="12" t="s">
        <v>35</v>
      </c>
      <c r="G199" s="12" t="s">
        <v>250</v>
      </c>
      <c r="H199" s="12" t="s">
        <v>419</v>
      </c>
      <c r="I199" s="14">
        <v>8</v>
      </c>
      <c r="J199" s="15">
        <v>191014</v>
      </c>
      <c r="K199" s="21">
        <v>77863</v>
      </c>
      <c r="L199" s="12">
        <v>23746</v>
      </c>
      <c r="M199" s="12">
        <v>7600</v>
      </c>
      <c r="N199" s="12"/>
      <c r="O199" s="12"/>
      <c r="P199" s="12">
        <v>2000</v>
      </c>
      <c r="Q199" s="12">
        <v>1000</v>
      </c>
      <c r="R199" s="12"/>
      <c r="S199" s="12">
        <v>1600</v>
      </c>
      <c r="T199" s="12">
        <v>5000</v>
      </c>
      <c r="U199" s="12">
        <v>2610</v>
      </c>
      <c r="V199" s="16">
        <f t="shared" si="3"/>
        <v>121419</v>
      </c>
      <c r="W199" s="12">
        <v>2206</v>
      </c>
      <c r="X199" s="12">
        <v>657</v>
      </c>
      <c r="Y199" s="16">
        <f>Table1[[#This Row],[LOAD K.M]]+Table1[[#This Row],[EMPTY K.M]]</f>
        <v>2863</v>
      </c>
      <c r="Z199" s="16">
        <f>Table1[[#This Row],[INVOICE AMOUNT2]]-Table1[[#This Row],[Total Exp.]]</f>
        <v>69595</v>
      </c>
      <c r="AA199" s="12">
        <f>Table1[[#This Row],[Total Exp.]]/Table1[[#This Row],[Total k.m]]</f>
        <v>42.409710094306668</v>
      </c>
      <c r="AB199" s="17">
        <f>Table1[[#This Row],[Profit/loss]]/Table1[[#This Row],[Total k.m]]</f>
        <v>24.308417743625569</v>
      </c>
      <c r="AC199" s="12">
        <f>Table1[[#This Row],[INVOICE AMOUNT2]]/Table1[[#This Row],[Total k.m]]</f>
        <v>66.718127837932244</v>
      </c>
    </row>
    <row r="200" spans="1:29" x14ac:dyDescent="0.3">
      <c r="A200" s="13">
        <v>198</v>
      </c>
      <c r="B200" s="25" t="s">
        <v>420</v>
      </c>
      <c r="C200" s="12" t="s">
        <v>34</v>
      </c>
      <c r="D200" s="10">
        <v>45986</v>
      </c>
      <c r="E200" s="24" t="s">
        <v>421</v>
      </c>
      <c r="F200" s="12" t="s">
        <v>178</v>
      </c>
      <c r="G200" s="12" t="s">
        <v>36</v>
      </c>
      <c r="H200" s="12" t="s">
        <v>226</v>
      </c>
      <c r="I200" s="14">
        <v>6</v>
      </c>
      <c r="J200" s="15">
        <v>93640</v>
      </c>
      <c r="K200" s="21">
        <v>35076</v>
      </c>
      <c r="L200" s="12">
        <v>12356</v>
      </c>
      <c r="M200" s="12">
        <v>5000</v>
      </c>
      <c r="N200" s="12"/>
      <c r="O200" s="12"/>
      <c r="P200" s="12">
        <v>2000</v>
      </c>
      <c r="Q200" s="12">
        <v>1000</v>
      </c>
      <c r="R200" s="12"/>
      <c r="S200" s="12">
        <v>200</v>
      </c>
      <c r="T200" s="12"/>
      <c r="U200" s="12"/>
      <c r="V200" s="16">
        <f t="shared" si="3"/>
        <v>55632</v>
      </c>
      <c r="W200" s="12">
        <v>672</v>
      </c>
      <c r="X200" s="12">
        <v>660</v>
      </c>
      <c r="Y200" s="16">
        <f>Table1[[#This Row],[LOAD K.M]]+Table1[[#This Row],[EMPTY K.M]]</f>
        <v>1332</v>
      </c>
      <c r="Z200" s="16">
        <f>Table1[[#This Row],[INVOICE AMOUNT2]]-Table1[[#This Row],[Total Exp.]]</f>
        <v>38008</v>
      </c>
      <c r="AA200" s="12">
        <f>Table1[[#This Row],[Total Exp.]]/Table1[[#This Row],[Total k.m]]</f>
        <v>41.765765765765764</v>
      </c>
      <c r="AB200" s="17">
        <f>Table1[[#This Row],[Profit/loss]]/Table1[[#This Row],[Total k.m]]</f>
        <v>28.534534534534533</v>
      </c>
      <c r="AC200" s="12">
        <f>Table1[[#This Row],[INVOICE AMOUNT2]]/Table1[[#This Row],[Total k.m]]</f>
        <v>70.300300300300307</v>
      </c>
    </row>
    <row r="201" spans="1:29" x14ac:dyDescent="0.3">
      <c r="A201" s="12">
        <v>199</v>
      </c>
      <c r="B201" s="25" t="s">
        <v>422</v>
      </c>
      <c r="C201" s="12" t="s">
        <v>98</v>
      </c>
      <c r="D201" s="10">
        <v>45986</v>
      </c>
      <c r="E201" s="24" t="s">
        <v>421</v>
      </c>
      <c r="F201" s="12" t="s">
        <v>30</v>
      </c>
      <c r="G201" s="12" t="s">
        <v>189</v>
      </c>
      <c r="H201" s="12" t="s">
        <v>32</v>
      </c>
      <c r="I201" s="14">
        <v>6</v>
      </c>
      <c r="J201" s="15">
        <v>35000</v>
      </c>
      <c r="K201" s="21">
        <v>25477</v>
      </c>
      <c r="L201" s="12">
        <v>9162</v>
      </c>
      <c r="M201" s="12">
        <v>5000</v>
      </c>
      <c r="N201" s="12"/>
      <c r="O201" s="12">
        <v>1550</v>
      </c>
      <c r="P201" s="12"/>
      <c r="Q201" s="12">
        <v>1000</v>
      </c>
      <c r="R201" s="12"/>
      <c r="S201" s="12"/>
      <c r="T201" s="12">
        <v>700</v>
      </c>
      <c r="U201" s="12"/>
      <c r="V201" s="16">
        <f t="shared" si="3"/>
        <v>42889</v>
      </c>
      <c r="W201" s="12">
        <v>932</v>
      </c>
      <c r="X201" s="12">
        <v>32</v>
      </c>
      <c r="Y201" s="16">
        <f>Table1[[#This Row],[LOAD K.M]]+Table1[[#This Row],[EMPTY K.M]]</f>
        <v>964</v>
      </c>
      <c r="Z201" s="16">
        <f>Table1[[#This Row],[INVOICE AMOUNT2]]-Table1[[#This Row],[Total Exp.]]</f>
        <v>-7889</v>
      </c>
      <c r="AA201" s="12">
        <f>Table1[[#This Row],[Total Exp.]]/Table1[[#This Row],[Total k.m]]</f>
        <v>44.490663900414937</v>
      </c>
      <c r="AB201" s="17">
        <f>Table1[[#This Row],[Profit/loss]]/Table1[[#This Row],[Total k.m]]</f>
        <v>-8.1836099585062243</v>
      </c>
      <c r="AC201" s="12">
        <f>Table1[[#This Row],[INVOICE AMOUNT2]]/Table1[[#This Row],[Total k.m]]</f>
        <v>36.307053941908713</v>
      </c>
    </row>
    <row r="202" spans="1:29" x14ac:dyDescent="0.3">
      <c r="A202" s="13">
        <v>200</v>
      </c>
      <c r="B202" s="25" t="s">
        <v>423</v>
      </c>
      <c r="C202" s="12" t="s">
        <v>29</v>
      </c>
      <c r="D202" s="10">
        <v>45986</v>
      </c>
      <c r="E202" s="24" t="s">
        <v>421</v>
      </c>
      <c r="F202" s="12" t="s">
        <v>35</v>
      </c>
      <c r="G202" s="12" t="s">
        <v>99</v>
      </c>
      <c r="H202" s="12" t="s">
        <v>66</v>
      </c>
      <c r="I202" s="14">
        <v>7</v>
      </c>
      <c r="J202" s="15">
        <v>164499</v>
      </c>
      <c r="K202" s="21">
        <v>63674</v>
      </c>
      <c r="L202" s="12">
        <v>22929</v>
      </c>
      <c r="M202" s="12">
        <v>10000</v>
      </c>
      <c r="N202" s="12"/>
      <c r="O202" s="12"/>
      <c r="P202" s="12">
        <v>2000</v>
      </c>
      <c r="Q202" s="12">
        <v>1500</v>
      </c>
      <c r="R202" s="12"/>
      <c r="S202" s="12"/>
      <c r="T202" s="12">
        <v>250</v>
      </c>
      <c r="U202" s="12">
        <v>2640</v>
      </c>
      <c r="V202" s="16">
        <f t="shared" si="3"/>
        <v>102993</v>
      </c>
      <c r="W202" s="12">
        <v>2300</v>
      </c>
      <c r="X202" s="12">
        <v>31</v>
      </c>
      <c r="Y202" s="16">
        <f>Table1[[#This Row],[LOAD K.M]]+Table1[[#This Row],[EMPTY K.M]]</f>
        <v>2331</v>
      </c>
      <c r="Z202" s="16">
        <f>Table1[[#This Row],[INVOICE AMOUNT2]]-Table1[[#This Row],[Total Exp.]]</f>
        <v>61506</v>
      </c>
      <c r="AA202" s="12">
        <f>Table1[[#This Row],[Total Exp.]]/Table1[[#This Row],[Total k.m]]</f>
        <v>44.184041184041185</v>
      </c>
      <c r="AB202" s="17">
        <f>Table1[[#This Row],[Profit/loss]]/Table1[[#This Row],[Total k.m]]</f>
        <v>26.386100386100384</v>
      </c>
      <c r="AC202" s="12">
        <f>Table1[[#This Row],[INVOICE AMOUNT2]]/Table1[[#This Row],[Total k.m]]</f>
        <v>70.570141570141573</v>
      </c>
    </row>
    <row r="203" spans="1:29" x14ac:dyDescent="0.3">
      <c r="A203" s="13">
        <v>201</v>
      </c>
      <c r="B203" s="25" t="s">
        <v>424</v>
      </c>
      <c r="C203" s="12" t="s">
        <v>82</v>
      </c>
      <c r="D203" s="10">
        <v>45986</v>
      </c>
      <c r="E203" s="24" t="s">
        <v>421</v>
      </c>
      <c r="F203" s="12" t="s">
        <v>65</v>
      </c>
      <c r="G203" s="12" t="s">
        <v>66</v>
      </c>
      <c r="H203" s="12" t="s">
        <v>287</v>
      </c>
      <c r="I203" s="14">
        <v>8</v>
      </c>
      <c r="J203" s="15">
        <v>165061</v>
      </c>
      <c r="K203" s="21">
        <v>62921</v>
      </c>
      <c r="L203" s="12">
        <v>21590</v>
      </c>
      <c r="M203" s="12">
        <v>10000</v>
      </c>
      <c r="N203" s="12"/>
      <c r="O203" s="12"/>
      <c r="P203" s="12">
        <v>2000</v>
      </c>
      <c r="Q203" s="12">
        <v>1000</v>
      </c>
      <c r="R203" s="12"/>
      <c r="S203" s="12">
        <v>300</v>
      </c>
      <c r="T203" s="12"/>
      <c r="U203" s="12">
        <v>1320</v>
      </c>
      <c r="V203" s="16">
        <f t="shared" si="3"/>
        <v>99131</v>
      </c>
      <c r="W203" s="12">
        <v>1795</v>
      </c>
      <c r="X203" s="12">
        <v>501</v>
      </c>
      <c r="Y203" s="16">
        <f>Table1[[#This Row],[LOAD K.M]]+Table1[[#This Row],[EMPTY K.M]]</f>
        <v>2296</v>
      </c>
      <c r="Z203" s="16">
        <f>Table1[[#This Row],[INVOICE AMOUNT2]]-Table1[[#This Row],[Total Exp.]]</f>
        <v>65930</v>
      </c>
      <c r="AA203" s="12">
        <f>Table1[[#This Row],[Total Exp.]]/Table1[[#This Row],[Total k.m]]</f>
        <v>43.175522648083621</v>
      </c>
      <c r="AB203" s="17">
        <f>Table1[[#This Row],[Profit/loss]]/Table1[[#This Row],[Total k.m]]</f>
        <v>28.715156794425088</v>
      </c>
      <c r="AC203" s="12">
        <f>Table1[[#This Row],[INVOICE AMOUNT2]]/Table1[[#This Row],[Total k.m]]</f>
        <v>71.890679442508713</v>
      </c>
    </row>
    <row r="204" spans="1:29" x14ac:dyDescent="0.3">
      <c r="A204" s="13">
        <v>202</v>
      </c>
      <c r="B204" s="25" t="s">
        <v>425</v>
      </c>
      <c r="C204" s="13" t="s">
        <v>63</v>
      </c>
      <c r="D204" s="10">
        <v>45986</v>
      </c>
      <c r="E204" s="11" t="s">
        <v>421</v>
      </c>
      <c r="F204" s="13" t="s">
        <v>65</v>
      </c>
      <c r="G204" s="13" t="s">
        <v>66</v>
      </c>
      <c r="H204" s="13" t="s">
        <v>278</v>
      </c>
      <c r="I204" s="14">
        <v>8</v>
      </c>
      <c r="J204" s="14">
        <v>186365</v>
      </c>
      <c r="K204" s="29">
        <v>68191</v>
      </c>
      <c r="L204" s="13">
        <v>24269</v>
      </c>
      <c r="M204" s="13">
        <v>10000</v>
      </c>
      <c r="N204" s="13"/>
      <c r="O204" s="13"/>
      <c r="P204" s="13">
        <v>2000</v>
      </c>
      <c r="Q204" s="13">
        <v>1000</v>
      </c>
      <c r="R204" s="13"/>
      <c r="S204" s="13">
        <v>300</v>
      </c>
      <c r="T204" s="13"/>
      <c r="U204" s="13">
        <v>2640</v>
      </c>
      <c r="V204" s="16">
        <f t="shared" si="3"/>
        <v>108400</v>
      </c>
      <c r="W204" s="13">
        <v>2040</v>
      </c>
      <c r="X204" s="13">
        <v>459</v>
      </c>
      <c r="Y204" s="16">
        <f>Table1[[#This Row],[LOAD K.M]]+Table1[[#This Row],[EMPTY K.M]]</f>
        <v>2499</v>
      </c>
      <c r="Z204" s="16">
        <f>Table1[[#This Row],[INVOICE AMOUNT2]]-Table1[[#This Row],[Total Exp.]]</f>
        <v>77965</v>
      </c>
      <c r="AA204" s="13">
        <f>Table1[[#This Row],[Total Exp.]]/Table1[[#This Row],[Total k.m]]</f>
        <v>43.377350940376154</v>
      </c>
      <c r="AB204" s="26">
        <f>Table1[[#This Row],[Profit/loss]]/Table1[[#This Row],[Total k.m]]</f>
        <v>31.198479391756702</v>
      </c>
      <c r="AC204" s="12">
        <f>Table1[[#This Row],[INVOICE AMOUNT2]]/Table1[[#This Row],[Total k.m]]</f>
        <v>74.575830332132853</v>
      </c>
    </row>
    <row r="205" spans="1:29" x14ac:dyDescent="0.3">
      <c r="A205" s="13">
        <v>203</v>
      </c>
      <c r="B205" s="25" t="s">
        <v>426</v>
      </c>
      <c r="C205" s="12" t="s">
        <v>93</v>
      </c>
      <c r="D205" s="10">
        <v>45986</v>
      </c>
      <c r="E205" s="24" t="s">
        <v>421</v>
      </c>
      <c r="F205" s="12" t="s">
        <v>65</v>
      </c>
      <c r="G205" s="12" t="s">
        <v>66</v>
      </c>
      <c r="H205" s="12" t="s">
        <v>154</v>
      </c>
      <c r="I205" s="14">
        <v>8</v>
      </c>
      <c r="J205" s="15">
        <v>185718</v>
      </c>
      <c r="K205" s="21">
        <v>70225</v>
      </c>
      <c r="L205" s="12">
        <v>20554</v>
      </c>
      <c r="M205" s="12">
        <v>10000</v>
      </c>
      <c r="N205" s="12"/>
      <c r="O205" s="12"/>
      <c r="P205" s="12">
        <v>2000</v>
      </c>
      <c r="Q205" s="12">
        <v>1000</v>
      </c>
      <c r="R205" s="12"/>
      <c r="S205" s="12"/>
      <c r="T205" s="12"/>
      <c r="U205" s="12">
        <v>2640</v>
      </c>
      <c r="V205" s="16">
        <f t="shared" si="3"/>
        <v>106419</v>
      </c>
      <c r="W205" s="12">
        <v>2161</v>
      </c>
      <c r="X205" s="12">
        <v>407</v>
      </c>
      <c r="Y205" s="16">
        <f>Table1[[#This Row],[LOAD K.M]]+Table1[[#This Row],[EMPTY K.M]]</f>
        <v>2568</v>
      </c>
      <c r="Z205" s="16">
        <f>Table1[[#This Row],[INVOICE AMOUNT2]]-Table1[[#This Row],[Total Exp.]]</f>
        <v>79299</v>
      </c>
      <c r="AA205" s="12">
        <f>Table1[[#This Row],[Total Exp.]]/Table1[[#This Row],[Total k.m]]</f>
        <v>41.440420560747661</v>
      </c>
      <c r="AB205" s="17">
        <f>Table1[[#This Row],[Profit/loss]]/Table1[[#This Row],[Total k.m]]</f>
        <v>30.879672897196262</v>
      </c>
      <c r="AC205" s="12">
        <f>Table1[[#This Row],[INVOICE AMOUNT2]]/Table1[[#This Row],[Total k.m]]</f>
        <v>72.320093457943926</v>
      </c>
    </row>
    <row r="206" spans="1:29" x14ac:dyDescent="0.3">
      <c r="A206" s="13">
        <v>204</v>
      </c>
      <c r="B206" s="25" t="s">
        <v>427</v>
      </c>
      <c r="C206" s="12" t="s">
        <v>102</v>
      </c>
      <c r="D206" s="10">
        <v>45986</v>
      </c>
      <c r="E206" s="24" t="s">
        <v>421</v>
      </c>
      <c r="F206" s="12" t="s">
        <v>65</v>
      </c>
      <c r="G206" s="12" t="s">
        <v>66</v>
      </c>
      <c r="H206" s="12" t="s">
        <v>96</v>
      </c>
      <c r="I206" s="14">
        <v>8</v>
      </c>
      <c r="J206" s="15">
        <v>143514</v>
      </c>
      <c r="K206" s="21">
        <v>59182</v>
      </c>
      <c r="L206" s="12">
        <v>16340</v>
      </c>
      <c r="M206" s="12">
        <v>6000</v>
      </c>
      <c r="N206" s="12"/>
      <c r="O206" s="12"/>
      <c r="P206" s="12">
        <v>2000</v>
      </c>
      <c r="Q206" s="12">
        <v>1000</v>
      </c>
      <c r="R206" s="12"/>
      <c r="S206" s="12">
        <v>300</v>
      </c>
      <c r="T206" s="12"/>
      <c r="U206" s="12">
        <v>2640</v>
      </c>
      <c r="V206" s="16">
        <f t="shared" si="3"/>
        <v>87462</v>
      </c>
      <c r="W206" s="12">
        <v>1736</v>
      </c>
      <c r="X206" s="12">
        <v>422</v>
      </c>
      <c r="Y206" s="16">
        <f>Table1[[#This Row],[LOAD K.M]]+Table1[[#This Row],[EMPTY K.M]]</f>
        <v>2158</v>
      </c>
      <c r="Z206" s="16">
        <f>Table1[[#This Row],[INVOICE AMOUNT2]]-Table1[[#This Row],[Total Exp.]]</f>
        <v>56052</v>
      </c>
      <c r="AA206" s="12">
        <f>Table1[[#This Row],[Total Exp.]]/Table1[[#This Row],[Total k.m]]</f>
        <v>40.529193697868394</v>
      </c>
      <c r="AB206" s="17">
        <f>Table1[[#This Row],[Profit/loss]]/Table1[[#This Row],[Total k.m]]</f>
        <v>25.974050046339205</v>
      </c>
      <c r="AC206" s="12">
        <f>Table1[[#This Row],[INVOICE AMOUNT2]]/Table1[[#This Row],[Total k.m]]</f>
        <v>66.503243744207595</v>
      </c>
    </row>
    <row r="207" spans="1:29" x14ac:dyDescent="0.3">
      <c r="A207" s="12">
        <v>205</v>
      </c>
      <c r="B207" s="25" t="s">
        <v>428</v>
      </c>
      <c r="C207" s="12" t="s">
        <v>93</v>
      </c>
      <c r="D207" s="10">
        <v>45986</v>
      </c>
      <c r="E207" s="24" t="s">
        <v>429</v>
      </c>
      <c r="F207" s="12" t="s">
        <v>35</v>
      </c>
      <c r="G207" s="12" t="s">
        <v>250</v>
      </c>
      <c r="H207" s="12" t="s">
        <v>55</v>
      </c>
      <c r="I207" s="14">
        <v>8</v>
      </c>
      <c r="J207" s="15">
        <v>52187</v>
      </c>
      <c r="K207" s="21">
        <v>21899</v>
      </c>
      <c r="L207" s="12">
        <v>9436</v>
      </c>
      <c r="M207" s="12">
        <v>1500</v>
      </c>
      <c r="N207" s="12"/>
      <c r="O207" s="12"/>
      <c r="P207" s="12">
        <v>2000</v>
      </c>
      <c r="Q207" s="12">
        <v>1500</v>
      </c>
      <c r="R207" s="12"/>
      <c r="S207" s="12">
        <v>600</v>
      </c>
      <c r="T207" s="12"/>
      <c r="U207" s="12"/>
      <c r="V207" s="16">
        <f t="shared" si="3"/>
        <v>36935</v>
      </c>
      <c r="W207" s="12">
        <v>587</v>
      </c>
      <c r="X207" s="12">
        <v>235</v>
      </c>
      <c r="Y207" s="16">
        <f>Table1[[#This Row],[LOAD K.M]]+Table1[[#This Row],[EMPTY K.M]]</f>
        <v>822</v>
      </c>
      <c r="Z207" s="16">
        <f>Table1[[#This Row],[INVOICE AMOUNT2]]-Table1[[#This Row],[Total Exp.]]</f>
        <v>15252</v>
      </c>
      <c r="AA207" s="12">
        <f>Table1[[#This Row],[Total Exp.]]/Table1[[#This Row],[Total k.m]]</f>
        <v>44.933090024330902</v>
      </c>
      <c r="AB207" s="17">
        <f>Table1[[#This Row],[Profit/loss]]/Table1[[#This Row],[Total k.m]]</f>
        <v>18.554744525547445</v>
      </c>
      <c r="AC207" s="12">
        <f>Table1[[#This Row],[INVOICE AMOUNT2]]/Table1[[#This Row],[Total k.m]]</f>
        <v>63.487834549878343</v>
      </c>
    </row>
    <row r="208" spans="1:29" x14ac:dyDescent="0.3">
      <c r="A208" s="40">
        <v>206</v>
      </c>
      <c r="B208" s="25" t="s">
        <v>430</v>
      </c>
      <c r="C208" s="12" t="s">
        <v>105</v>
      </c>
      <c r="D208" s="10">
        <v>45986</v>
      </c>
      <c r="E208" s="24" t="s">
        <v>431</v>
      </c>
      <c r="F208" s="12" t="s">
        <v>30</v>
      </c>
      <c r="G208" s="12" t="s">
        <v>189</v>
      </c>
      <c r="H208" s="12" t="s">
        <v>32</v>
      </c>
      <c r="I208" s="14">
        <v>6</v>
      </c>
      <c r="J208" s="15">
        <v>35000</v>
      </c>
      <c r="K208" s="21">
        <v>25477</v>
      </c>
      <c r="L208" s="12">
        <v>8433</v>
      </c>
      <c r="M208" s="12">
        <v>5500</v>
      </c>
      <c r="N208" s="12"/>
      <c r="O208" s="12"/>
      <c r="P208" s="12"/>
      <c r="Q208" s="12">
        <v>1000</v>
      </c>
      <c r="R208" s="12"/>
      <c r="S208" s="12"/>
      <c r="T208" s="12"/>
      <c r="U208" s="12"/>
      <c r="V208" s="16">
        <f t="shared" si="3"/>
        <v>40410</v>
      </c>
      <c r="W208" s="12">
        <v>935</v>
      </c>
      <c r="X208" s="12">
        <v>29</v>
      </c>
      <c r="Y208" s="16">
        <f>Table1[[#This Row],[LOAD K.M]]+Table1[[#This Row],[EMPTY K.M]]</f>
        <v>964</v>
      </c>
      <c r="Z208" s="16">
        <f>Table1[[#This Row],[INVOICE AMOUNT2]]-Table1[[#This Row],[Total Exp.]]</f>
        <v>-5410</v>
      </c>
      <c r="AA208" s="12">
        <f>Table1[[#This Row],[Total Exp.]]/Table1[[#This Row],[Total k.m]]</f>
        <v>41.919087136929463</v>
      </c>
      <c r="AB208" s="17">
        <f>Table1[[#This Row],[Profit/loss]]/Table1[[#This Row],[Total k.m]]</f>
        <v>-5.6120331950207465</v>
      </c>
      <c r="AC208" s="12">
        <f>Table1[[#This Row],[INVOICE AMOUNT2]]/Table1[[#This Row],[Total k.m]]</f>
        <v>36.307053941908713</v>
      </c>
    </row>
    <row r="209" spans="1:29" x14ac:dyDescent="0.3">
      <c r="A209" s="13">
        <v>207</v>
      </c>
      <c r="B209" s="56" t="s">
        <v>432</v>
      </c>
      <c r="C209" s="12" t="s">
        <v>82</v>
      </c>
      <c r="D209" s="10">
        <v>45986</v>
      </c>
      <c r="E209" s="24" t="s">
        <v>433</v>
      </c>
      <c r="F209" s="12" t="s">
        <v>35</v>
      </c>
      <c r="G209" s="12" t="s">
        <v>99</v>
      </c>
      <c r="H209" s="12" t="s">
        <v>434</v>
      </c>
      <c r="I209" s="14">
        <v>8</v>
      </c>
      <c r="J209" s="15">
        <v>73448</v>
      </c>
      <c r="K209" s="21">
        <v>31327</v>
      </c>
      <c r="L209" s="12">
        <v>13335</v>
      </c>
      <c r="M209" s="12"/>
      <c r="N209" s="12"/>
      <c r="O209" s="12"/>
      <c r="P209" s="12">
        <v>2000</v>
      </c>
      <c r="Q209" s="12">
        <v>1000</v>
      </c>
      <c r="R209" s="12"/>
      <c r="S209" s="12"/>
      <c r="T209" s="12"/>
      <c r="U209" s="12">
        <v>1320</v>
      </c>
      <c r="V209" s="16">
        <f t="shared" si="3"/>
        <v>48982</v>
      </c>
      <c r="W209" s="12">
        <v>705</v>
      </c>
      <c r="X209" s="12">
        <v>514</v>
      </c>
      <c r="Y209" s="16">
        <f>Table1[[#This Row],[LOAD K.M]]+Table1[[#This Row],[EMPTY K.M]]</f>
        <v>1219</v>
      </c>
      <c r="Z209" s="16">
        <f>Table1[[#This Row],[INVOICE AMOUNT2]]-Table1[[#This Row],[Total Exp.]]</f>
        <v>24466</v>
      </c>
      <c r="AA209" s="12">
        <f>Table1[[#This Row],[Total Exp.]]/Table1[[#This Row],[Total k.m]]</f>
        <v>40.182116488925345</v>
      </c>
      <c r="AB209" s="17">
        <f>Table1[[#This Row],[Profit/loss]]/Table1[[#This Row],[Total k.m]]</f>
        <v>20.070549630844955</v>
      </c>
      <c r="AC209" s="12">
        <f>Table1[[#This Row],[INVOICE AMOUNT2]]/Table1[[#This Row],[Total k.m]]</f>
        <v>60.252666119770304</v>
      </c>
    </row>
    <row r="210" spans="1:29" x14ac:dyDescent="0.3">
      <c r="A210" s="13">
        <v>208</v>
      </c>
      <c r="B210" s="25" t="s">
        <v>435</v>
      </c>
      <c r="C210" s="12" t="s">
        <v>84</v>
      </c>
      <c r="D210" s="10">
        <v>45986</v>
      </c>
      <c r="E210" s="24" t="s">
        <v>433</v>
      </c>
      <c r="F210" s="12" t="s">
        <v>65</v>
      </c>
      <c r="G210" s="12" t="s">
        <v>66</v>
      </c>
      <c r="H210" s="12" t="s">
        <v>36</v>
      </c>
      <c r="I210" s="14">
        <v>8</v>
      </c>
      <c r="J210" s="15">
        <v>97024</v>
      </c>
      <c r="K210" s="21">
        <v>36079</v>
      </c>
      <c r="L210" s="12">
        <v>10683</v>
      </c>
      <c r="M210" s="12">
        <v>4500</v>
      </c>
      <c r="N210" s="12"/>
      <c r="O210" s="12"/>
      <c r="P210" s="12">
        <v>2000</v>
      </c>
      <c r="Q210" s="12">
        <v>1000</v>
      </c>
      <c r="R210" s="12"/>
      <c r="S210" s="12"/>
      <c r="T210" s="12"/>
      <c r="U210" s="12">
        <v>1320</v>
      </c>
      <c r="V210" s="16">
        <f t="shared" si="3"/>
        <v>55582</v>
      </c>
      <c r="W210" s="12">
        <v>1252</v>
      </c>
      <c r="X210" s="12">
        <v>41</v>
      </c>
      <c r="Y210" s="16">
        <f>Table1[[#This Row],[LOAD K.M]]+Table1[[#This Row],[EMPTY K.M]]</f>
        <v>1293</v>
      </c>
      <c r="Z210" s="16">
        <f>Table1[[#This Row],[INVOICE AMOUNT2]]-Table1[[#This Row],[Total Exp.]]</f>
        <v>41442</v>
      </c>
      <c r="AA210" s="12">
        <f>Table1[[#This Row],[Total Exp.]]/Table1[[#This Row],[Total k.m]]</f>
        <v>42.986852281515851</v>
      </c>
      <c r="AB210" s="17">
        <f>Table1[[#This Row],[Profit/loss]]/Table1[[#This Row],[Total k.m]]</f>
        <v>32.051044083526683</v>
      </c>
      <c r="AC210" s="12">
        <f>Table1[[#This Row],[INVOICE AMOUNT2]]/Table1[[#This Row],[Total k.m]]</f>
        <v>75.037896365042542</v>
      </c>
    </row>
    <row r="211" spans="1:29" x14ac:dyDescent="0.3">
      <c r="A211" s="13">
        <v>209</v>
      </c>
      <c r="B211" s="25" t="s">
        <v>436</v>
      </c>
      <c r="C211" s="12" t="s">
        <v>29</v>
      </c>
      <c r="D211" s="10">
        <v>45986</v>
      </c>
      <c r="E211" s="24" t="s">
        <v>433</v>
      </c>
      <c r="F211" s="12" t="s">
        <v>65</v>
      </c>
      <c r="G211" s="12" t="s">
        <v>66</v>
      </c>
      <c r="H211" s="12" t="s">
        <v>36</v>
      </c>
      <c r="I211" s="14">
        <v>8</v>
      </c>
      <c r="J211" s="15">
        <v>96726</v>
      </c>
      <c r="K211" s="21">
        <v>34573</v>
      </c>
      <c r="L211" s="12">
        <v>8618</v>
      </c>
      <c r="M211" s="12">
        <v>4500</v>
      </c>
      <c r="N211" s="12"/>
      <c r="O211" s="12"/>
      <c r="P211" s="12">
        <v>2000</v>
      </c>
      <c r="Q211" s="12">
        <v>1000</v>
      </c>
      <c r="R211" s="12"/>
      <c r="S211" s="12">
        <v>300</v>
      </c>
      <c r="T211" s="12"/>
      <c r="U211" s="12"/>
      <c r="V211" s="16">
        <f t="shared" si="3"/>
        <v>50991</v>
      </c>
      <c r="W211" s="12">
        <v>1242</v>
      </c>
      <c r="X211" s="12"/>
      <c r="Y211" s="16">
        <f>Table1[[#This Row],[LOAD K.M]]+Table1[[#This Row],[EMPTY K.M]]</f>
        <v>1242</v>
      </c>
      <c r="Z211" s="16">
        <f>Table1[[#This Row],[INVOICE AMOUNT2]]-Table1[[#This Row],[Total Exp.]]</f>
        <v>45735</v>
      </c>
      <c r="AA211" s="12">
        <f>Table1[[#This Row],[Total Exp.]]/Table1[[#This Row],[Total k.m]]</f>
        <v>41.055555555555557</v>
      </c>
      <c r="AB211" s="17">
        <f>Table1[[#This Row],[Profit/loss]]/Table1[[#This Row],[Total k.m]]</f>
        <v>36.823671497584542</v>
      </c>
      <c r="AC211" s="12">
        <f>Table1[[#This Row],[INVOICE AMOUNT2]]/Table1[[#This Row],[Total k.m]]</f>
        <v>77.879227053140099</v>
      </c>
    </row>
    <row r="212" spans="1:29" x14ac:dyDescent="0.3">
      <c r="A212" s="13">
        <v>210</v>
      </c>
      <c r="B212" s="25" t="s">
        <v>437</v>
      </c>
      <c r="C212" s="12" t="s">
        <v>98</v>
      </c>
      <c r="D212" s="10">
        <v>45986</v>
      </c>
      <c r="E212" s="24" t="s">
        <v>433</v>
      </c>
      <c r="F212" s="12" t="s">
        <v>35</v>
      </c>
      <c r="G212" s="12" t="s">
        <v>250</v>
      </c>
      <c r="H212" s="12" t="s">
        <v>36</v>
      </c>
      <c r="I212" s="14">
        <v>8</v>
      </c>
      <c r="J212" s="15">
        <v>69897</v>
      </c>
      <c r="K212" s="21">
        <v>27152</v>
      </c>
      <c r="L212" s="12">
        <v>4975</v>
      </c>
      <c r="M212" s="12">
        <v>1500</v>
      </c>
      <c r="N212" s="12"/>
      <c r="O212" s="12"/>
      <c r="P212" s="12">
        <v>2000</v>
      </c>
      <c r="Q212" s="12">
        <v>1000</v>
      </c>
      <c r="R212" s="12"/>
      <c r="S212" s="12">
        <v>700</v>
      </c>
      <c r="T212" s="12"/>
      <c r="U212" s="12"/>
      <c r="V212" s="16">
        <f t="shared" si="3"/>
        <v>37327</v>
      </c>
      <c r="W212" s="12">
        <v>901</v>
      </c>
      <c r="X212" s="12">
        <v>107</v>
      </c>
      <c r="Y212" s="16">
        <f>Table1[[#This Row],[LOAD K.M]]+Table1[[#This Row],[EMPTY K.M]]</f>
        <v>1008</v>
      </c>
      <c r="Z212" s="16">
        <f>Table1[[#This Row],[INVOICE AMOUNT2]]-Table1[[#This Row],[Total Exp.]]</f>
        <v>32570</v>
      </c>
      <c r="AA212" s="12">
        <f>Table1[[#This Row],[Total Exp.]]/Table1[[#This Row],[Total k.m]]</f>
        <v>37.030753968253968</v>
      </c>
      <c r="AB212" s="17">
        <f>Table1[[#This Row],[Profit/loss]]/Table1[[#This Row],[Total k.m]]</f>
        <v>32.311507936507937</v>
      </c>
      <c r="AC212" s="12">
        <f>Table1[[#This Row],[INVOICE AMOUNT2]]/Table1[[#This Row],[Total k.m]]</f>
        <v>69.342261904761898</v>
      </c>
    </row>
    <row r="213" spans="1:29" x14ac:dyDescent="0.3">
      <c r="A213" s="13">
        <v>211</v>
      </c>
      <c r="B213" s="25" t="s">
        <v>438</v>
      </c>
      <c r="C213" s="12" t="s">
        <v>69</v>
      </c>
      <c r="D213" s="10">
        <v>45986</v>
      </c>
      <c r="E213" s="24" t="s">
        <v>433</v>
      </c>
      <c r="F213" s="12" t="s">
        <v>35</v>
      </c>
      <c r="G213" s="12" t="s">
        <v>250</v>
      </c>
      <c r="H213" s="12" t="s">
        <v>194</v>
      </c>
      <c r="I213" s="14">
        <v>6</v>
      </c>
      <c r="J213" s="15">
        <v>95082</v>
      </c>
      <c r="K213" s="27">
        <v>48878</v>
      </c>
      <c r="L213" s="12">
        <v>18487</v>
      </c>
      <c r="M213" s="12">
        <v>1500</v>
      </c>
      <c r="N213" s="12"/>
      <c r="O213" s="12"/>
      <c r="P213" s="12">
        <v>2000</v>
      </c>
      <c r="Q213" s="12">
        <v>1000</v>
      </c>
      <c r="R213" s="12"/>
      <c r="S213" s="12">
        <v>1200</v>
      </c>
      <c r="T213" s="12">
        <v>800</v>
      </c>
      <c r="U213" s="12">
        <v>1320</v>
      </c>
      <c r="V213" s="16">
        <f t="shared" si="3"/>
        <v>75185</v>
      </c>
      <c r="W213" s="12">
        <v>1086</v>
      </c>
      <c r="X213" s="12">
        <v>761</v>
      </c>
      <c r="Y213" s="16">
        <f>Table1[[#This Row],[LOAD K.M]]+Table1[[#This Row],[EMPTY K.M]]</f>
        <v>1847</v>
      </c>
      <c r="Z213" s="16">
        <f>Table1[[#This Row],[INVOICE AMOUNT2]]-Table1[[#This Row],[Total Exp.]]</f>
        <v>19897</v>
      </c>
      <c r="AA213" s="12">
        <f>Table1[[#This Row],[Total Exp.]]/Table1[[#This Row],[Total k.m]]</f>
        <v>40.706551164049813</v>
      </c>
      <c r="AB213" s="17">
        <f>Table1[[#This Row],[Profit/loss]]/Table1[[#This Row],[Total k.m]]</f>
        <v>10.772604223064429</v>
      </c>
      <c r="AC213" s="12">
        <f>Table1[[#This Row],[INVOICE AMOUNT2]]/Table1[[#This Row],[Total k.m]]</f>
        <v>51.47915538711424</v>
      </c>
    </row>
    <row r="214" spans="1:29" x14ac:dyDescent="0.3">
      <c r="A214" s="13">
        <v>212</v>
      </c>
      <c r="B214" s="25" t="s">
        <v>439</v>
      </c>
      <c r="C214" s="12" t="s">
        <v>34</v>
      </c>
      <c r="D214" s="10">
        <v>45986</v>
      </c>
      <c r="E214" s="24" t="s">
        <v>433</v>
      </c>
      <c r="F214" s="12" t="s">
        <v>178</v>
      </c>
      <c r="G214" s="12" t="s">
        <v>228</v>
      </c>
      <c r="H214" s="12" t="s">
        <v>440</v>
      </c>
      <c r="I214" s="14">
        <v>6</v>
      </c>
      <c r="J214" s="15">
        <v>85866</v>
      </c>
      <c r="K214" s="21">
        <v>31866</v>
      </c>
      <c r="L214" s="12">
        <v>10986</v>
      </c>
      <c r="M214" s="12">
        <v>5000</v>
      </c>
      <c r="N214" s="12"/>
      <c r="O214" s="12"/>
      <c r="P214" s="12">
        <v>2000</v>
      </c>
      <c r="Q214" s="12">
        <v>1000</v>
      </c>
      <c r="R214" s="12"/>
      <c r="S214" s="12">
        <v>900</v>
      </c>
      <c r="T214" s="12"/>
      <c r="U214" s="12">
        <v>2060</v>
      </c>
      <c r="V214" s="16">
        <f t="shared" si="3"/>
        <v>53812</v>
      </c>
      <c r="W214" s="12">
        <v>609</v>
      </c>
      <c r="X214" s="12">
        <v>593</v>
      </c>
      <c r="Y214" s="16">
        <f>Table1[[#This Row],[LOAD K.M]]+Table1[[#This Row],[EMPTY K.M]]</f>
        <v>1202</v>
      </c>
      <c r="Z214" s="16">
        <f>Table1[[#This Row],[INVOICE AMOUNT2]]-Table1[[#This Row],[Total Exp.]]</f>
        <v>32054</v>
      </c>
      <c r="AA214" s="12">
        <f>Table1[[#This Row],[Total Exp.]]/Table1[[#This Row],[Total k.m]]</f>
        <v>44.76871880199667</v>
      </c>
      <c r="AB214" s="17">
        <f>Table1[[#This Row],[Profit/loss]]/Table1[[#This Row],[Total k.m]]</f>
        <v>26.667221297836939</v>
      </c>
      <c r="AC214" s="12">
        <f>Table1[[#This Row],[INVOICE AMOUNT2]]/Table1[[#This Row],[Total k.m]]</f>
        <v>71.435940099833616</v>
      </c>
    </row>
    <row r="215" spans="1:29" x14ac:dyDescent="0.3">
      <c r="A215" s="13">
        <v>213</v>
      </c>
      <c r="B215" s="25" t="s">
        <v>441</v>
      </c>
      <c r="C215" s="12" t="s">
        <v>46</v>
      </c>
      <c r="D215" s="10">
        <v>45986</v>
      </c>
      <c r="E215" s="24" t="s">
        <v>433</v>
      </c>
      <c r="F215" s="12" t="s">
        <v>178</v>
      </c>
      <c r="G215" s="12" t="s">
        <v>228</v>
      </c>
      <c r="H215" s="12" t="s">
        <v>85</v>
      </c>
      <c r="I215" s="14">
        <v>6</v>
      </c>
      <c r="J215" s="15">
        <v>79827</v>
      </c>
      <c r="K215" s="21">
        <v>34719</v>
      </c>
      <c r="L215" s="12">
        <v>9346</v>
      </c>
      <c r="M215" s="12">
        <v>3000</v>
      </c>
      <c r="N215" s="12"/>
      <c r="O215" s="12"/>
      <c r="P215" s="12">
        <v>2000</v>
      </c>
      <c r="Q215" s="12">
        <v>1500</v>
      </c>
      <c r="R215" s="12"/>
      <c r="S215" s="12">
        <v>200</v>
      </c>
      <c r="T215" s="12">
        <v>2640</v>
      </c>
      <c r="U215" s="12"/>
      <c r="V215" s="12">
        <f t="shared" si="3"/>
        <v>53405</v>
      </c>
      <c r="W215" s="12">
        <v>711</v>
      </c>
      <c r="X215" s="12">
        <v>601</v>
      </c>
      <c r="Y215" s="12">
        <f>Table1[[#This Row],[LOAD K.M]]+Table1[[#This Row],[EMPTY K.M]]</f>
        <v>1312</v>
      </c>
      <c r="Z215" s="12">
        <f>Table1[[#This Row],[INVOICE AMOUNT2]]-Table1[[#This Row],[Total Exp.]]</f>
        <v>26422</v>
      </c>
      <c r="AA215" s="12">
        <f>Table1[[#This Row],[Total Exp.]]/Table1[[#This Row],[Total k.m]]</f>
        <v>40.705030487804876</v>
      </c>
      <c r="AB215" s="12">
        <f>Table1[[#This Row],[Profit/loss]]/Table1[[#This Row],[Total k.m]]</f>
        <v>20.138719512195124</v>
      </c>
      <c r="AC215" s="12">
        <f>Table1[[#This Row],[INVOICE AMOUNT2]]/Table1[[#This Row],[Total k.m]]</f>
        <v>60.84375</v>
      </c>
    </row>
    <row r="216" spans="1:29" x14ac:dyDescent="0.3">
      <c r="A216" s="13">
        <v>214</v>
      </c>
      <c r="B216" s="70" t="s">
        <v>442</v>
      </c>
      <c r="C216" s="69" t="s">
        <v>82</v>
      </c>
      <c r="D216" s="73">
        <v>45986</v>
      </c>
      <c r="E216" s="72" t="s">
        <v>433</v>
      </c>
      <c r="F216" s="69" t="s">
        <v>35</v>
      </c>
      <c r="G216" s="69" t="s">
        <v>99</v>
      </c>
      <c r="H216" s="69" t="s">
        <v>434</v>
      </c>
      <c r="I216" s="74">
        <v>8</v>
      </c>
      <c r="J216" s="74">
        <v>73448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>
        <f t="shared" si="3"/>
        <v>0</v>
      </c>
      <c r="W216" s="12"/>
      <c r="X216" s="12"/>
      <c r="Y216" s="12">
        <f>Table1[[#This Row],[LOAD K.M]]+Table1[[#This Row],[EMPTY K.M]]</f>
        <v>0</v>
      </c>
      <c r="Z216" s="12">
        <f>Table1[[#This Row],[INVOICE AMOUNT2]]-Table1[[#This Row],[Total Exp.]]</f>
        <v>73448</v>
      </c>
      <c r="AA216" s="12" t="e">
        <f>Table1[[#This Row],[Total Exp.]]/Table1[[#This Row],[Total k.m]]</f>
        <v>#DIV/0!</v>
      </c>
      <c r="AB216" s="12" t="e">
        <f>Table1[[#This Row],[Profit/loss]]/Table1[[#This Row],[Total k.m]]</f>
        <v>#DIV/0!</v>
      </c>
      <c r="AC216" s="12" t="e">
        <f>Table1[[#This Row],[INVOICE AMOUNT2]]/Table1[[#This Row],[Total k.m]]</f>
        <v>#DIV/0!</v>
      </c>
    </row>
    <row r="217" spans="1:29" x14ac:dyDescent="0.3">
      <c r="A217" s="13">
        <v>215</v>
      </c>
      <c r="B217" s="25" t="s">
        <v>443</v>
      </c>
      <c r="C217" s="12" t="s">
        <v>75</v>
      </c>
      <c r="D217" s="10">
        <v>45986</v>
      </c>
      <c r="E217" s="24" t="s">
        <v>444</v>
      </c>
      <c r="F217" s="12" t="s">
        <v>35</v>
      </c>
      <c r="G217" s="12" t="s">
        <v>36</v>
      </c>
      <c r="H217" s="12" t="s">
        <v>364</v>
      </c>
      <c r="I217" s="14">
        <v>7</v>
      </c>
      <c r="J217" s="15">
        <v>203843</v>
      </c>
      <c r="K217" s="21">
        <v>80937</v>
      </c>
      <c r="L217" s="12">
        <v>28382</v>
      </c>
      <c r="M217" s="12">
        <v>6000</v>
      </c>
      <c r="N217" s="12"/>
      <c r="O217" s="12"/>
      <c r="P217" s="12">
        <v>2000</v>
      </c>
      <c r="Q217" s="12">
        <v>1000</v>
      </c>
      <c r="R217" s="12"/>
      <c r="S217" s="12">
        <v>400</v>
      </c>
      <c r="T217" s="12"/>
      <c r="U217" s="12">
        <v>3960</v>
      </c>
      <c r="V217" s="12">
        <f t="shared" si="3"/>
        <v>122679</v>
      </c>
      <c r="W217" s="12">
        <v>1723</v>
      </c>
      <c r="X217" s="12">
        <v>1258</v>
      </c>
      <c r="Y217" s="12">
        <f>Table1[[#This Row],[LOAD K.M]]+Table1[[#This Row],[EMPTY K.M]]</f>
        <v>2981</v>
      </c>
      <c r="Z217" s="12">
        <f>Table1[[#This Row],[INVOICE AMOUNT2]]-Table1[[#This Row],[Total Exp.]]</f>
        <v>81164</v>
      </c>
      <c r="AA217" s="12">
        <f>Table1[[#This Row],[Total Exp.]]/Table1[[#This Row],[Total k.m]]</f>
        <v>41.153639718215366</v>
      </c>
      <c r="AB217" s="12">
        <f>Table1[[#This Row],[Profit/loss]]/Table1[[#This Row],[Total k.m]]</f>
        <v>27.227104998322712</v>
      </c>
      <c r="AC217" s="12">
        <f>Table1[[#This Row],[INVOICE AMOUNT2]]/Table1[[#This Row],[Total k.m]]</f>
        <v>68.380744716538075</v>
      </c>
    </row>
    <row r="218" spans="1:29" x14ac:dyDescent="0.3">
      <c r="A218" s="13">
        <v>216</v>
      </c>
      <c r="B218" s="25" t="s">
        <v>445</v>
      </c>
      <c r="C218" s="12" t="s">
        <v>59</v>
      </c>
      <c r="D218" s="10">
        <v>45986</v>
      </c>
      <c r="E218" s="24" t="s">
        <v>444</v>
      </c>
      <c r="F218" s="12" t="s">
        <v>35</v>
      </c>
      <c r="G218" s="12" t="s">
        <v>36</v>
      </c>
      <c r="H218" s="12" t="s">
        <v>326</v>
      </c>
      <c r="I218" s="14">
        <v>6</v>
      </c>
      <c r="J218" s="15">
        <v>102776</v>
      </c>
      <c r="K218" s="21">
        <v>28632</v>
      </c>
      <c r="L218" s="12">
        <v>10234</v>
      </c>
      <c r="M218" s="12">
        <v>6500</v>
      </c>
      <c r="N218" s="12"/>
      <c r="O218" s="12"/>
      <c r="P218" s="12">
        <v>2000</v>
      </c>
      <c r="Q218" s="12">
        <v>1000</v>
      </c>
      <c r="R218" s="12"/>
      <c r="S218" s="12">
        <v>500</v>
      </c>
      <c r="T218" s="12"/>
      <c r="U218" s="12">
        <v>2640</v>
      </c>
      <c r="V218" s="12">
        <f t="shared" si="3"/>
        <v>51506</v>
      </c>
      <c r="W218" s="12">
        <v>1038</v>
      </c>
      <c r="X218" s="12">
        <v>485</v>
      </c>
      <c r="Y218" s="12">
        <f>Table1[[#This Row],[LOAD K.M]]+Table1[[#This Row],[EMPTY K.M]]</f>
        <v>1523</v>
      </c>
      <c r="Z218" s="12">
        <f>Table1[[#This Row],[INVOICE AMOUNT2]]-Table1[[#This Row],[Total Exp.]]</f>
        <v>51270</v>
      </c>
      <c r="AA218" s="12">
        <f>Table1[[#This Row],[Total Exp.]]/Table1[[#This Row],[Total k.m]]</f>
        <v>33.818778726198296</v>
      </c>
      <c r="AB218" s="12">
        <f>Table1[[#This Row],[Profit/loss]]/Table1[[#This Row],[Total k.m]]</f>
        <v>33.663821405121467</v>
      </c>
      <c r="AC218" s="12">
        <f>Table1[[#This Row],[INVOICE AMOUNT2]]/Table1[[#This Row],[Total k.m]]</f>
        <v>67.482600131319757</v>
      </c>
    </row>
    <row r="219" spans="1:29" x14ac:dyDescent="0.3">
      <c r="A219" s="13">
        <v>217</v>
      </c>
      <c r="B219" s="25" t="s">
        <v>446</v>
      </c>
      <c r="C219" s="12" t="s">
        <v>39</v>
      </c>
      <c r="D219" s="10">
        <v>45986</v>
      </c>
      <c r="E219" s="24" t="s">
        <v>444</v>
      </c>
      <c r="F219" s="12" t="s">
        <v>30</v>
      </c>
      <c r="G219" s="12" t="s">
        <v>189</v>
      </c>
      <c r="H219" s="12" t="s">
        <v>32</v>
      </c>
      <c r="I219" s="14">
        <v>8</v>
      </c>
      <c r="J219" s="15">
        <v>35000</v>
      </c>
      <c r="K219" s="21">
        <v>25909</v>
      </c>
      <c r="L219" s="12">
        <v>6545</v>
      </c>
      <c r="M219" s="12">
        <v>3000</v>
      </c>
      <c r="N219" s="12"/>
      <c r="O219" s="12"/>
      <c r="P219" s="12"/>
      <c r="Q219" s="12">
        <v>1000</v>
      </c>
      <c r="R219" s="12"/>
      <c r="S219" s="12"/>
      <c r="T219" s="12"/>
      <c r="U219" s="12"/>
      <c r="V219" s="12">
        <f t="shared" si="3"/>
        <v>36454</v>
      </c>
      <c r="W219" s="12">
        <v>938</v>
      </c>
      <c r="X219" s="12">
        <v>42</v>
      </c>
      <c r="Y219" s="12">
        <f>Table1[[#This Row],[LOAD K.M]]+Table1[[#This Row],[EMPTY K.M]]</f>
        <v>980</v>
      </c>
      <c r="Z219" s="12">
        <f>Table1[[#This Row],[INVOICE AMOUNT2]]-Table1[[#This Row],[Total Exp.]]</f>
        <v>-1454</v>
      </c>
      <c r="AA219" s="12">
        <f>Table1[[#This Row],[Total Exp.]]/Table1[[#This Row],[Total k.m]]</f>
        <v>37.197959183673468</v>
      </c>
      <c r="AB219" s="12">
        <f>Table1[[#This Row],[Profit/loss]]/Table1[[#This Row],[Total k.m]]</f>
        <v>-1.4836734693877551</v>
      </c>
      <c r="AC219" s="12">
        <f>Table1[[#This Row],[INVOICE AMOUNT2]]/Table1[[#This Row],[Total k.m]]</f>
        <v>35.714285714285715</v>
      </c>
    </row>
    <row r="220" spans="1:29" x14ac:dyDescent="0.3">
      <c r="A220" s="13">
        <v>218</v>
      </c>
      <c r="B220" s="25" t="s">
        <v>447</v>
      </c>
      <c r="C220" s="12" t="s">
        <v>102</v>
      </c>
      <c r="D220" s="10">
        <v>45986</v>
      </c>
      <c r="E220" s="24" t="s">
        <v>448</v>
      </c>
      <c r="F220" s="12" t="s">
        <v>35</v>
      </c>
      <c r="G220" s="12" t="s">
        <v>250</v>
      </c>
      <c r="H220" s="12" t="s">
        <v>449</v>
      </c>
      <c r="I220" s="14">
        <v>7</v>
      </c>
      <c r="J220" s="15">
        <v>103559</v>
      </c>
      <c r="K220" s="21">
        <v>45473</v>
      </c>
      <c r="L220" s="12">
        <v>13172</v>
      </c>
      <c r="M220" s="12">
        <v>1500</v>
      </c>
      <c r="N220" s="12"/>
      <c r="O220" s="12"/>
      <c r="P220" s="12">
        <v>2000</v>
      </c>
      <c r="Q220" s="12">
        <v>1000</v>
      </c>
      <c r="R220" s="12"/>
      <c r="S220" s="12">
        <v>1400</v>
      </c>
      <c r="T220" s="12"/>
      <c r="U220" s="12">
        <v>2640</v>
      </c>
      <c r="V220" s="12">
        <f t="shared" si="3"/>
        <v>67185</v>
      </c>
      <c r="W220" s="12">
        <v>1135</v>
      </c>
      <c r="X220" s="12">
        <v>563</v>
      </c>
      <c r="Y220" s="12">
        <f>Table1[[#This Row],[LOAD K.M]]+Table1[[#This Row],[EMPTY K.M]]</f>
        <v>1698</v>
      </c>
      <c r="Z220" s="12">
        <f>Table1[[#This Row],[INVOICE AMOUNT2]]-Table1[[#This Row],[Total Exp.]]</f>
        <v>36374</v>
      </c>
      <c r="AA220" s="12">
        <f>Table1[[#This Row],[Total Exp.]]/Table1[[#This Row],[Total k.m]]</f>
        <v>39.56713780918728</v>
      </c>
      <c r="AB220" s="12">
        <f>Table1[[#This Row],[Profit/loss]]/Table1[[#This Row],[Total k.m]]</f>
        <v>21.421672555948174</v>
      </c>
      <c r="AC220" s="12">
        <f>Table1[[#This Row],[INVOICE AMOUNT2]]/Table1[[#This Row],[Total k.m]]</f>
        <v>60.988810365135457</v>
      </c>
    </row>
    <row r="221" spans="1:29" x14ac:dyDescent="0.3">
      <c r="A221" s="13">
        <v>219</v>
      </c>
      <c r="B221" s="25" t="s">
        <v>450</v>
      </c>
      <c r="C221" s="12" t="s">
        <v>95</v>
      </c>
      <c r="D221" s="10">
        <v>45986</v>
      </c>
      <c r="E221" s="24" t="s">
        <v>451</v>
      </c>
      <c r="F221" s="12" t="s">
        <v>35</v>
      </c>
      <c r="G221" s="12" t="s">
        <v>36</v>
      </c>
      <c r="H221" s="12" t="s">
        <v>111</v>
      </c>
      <c r="I221" s="14">
        <v>8</v>
      </c>
      <c r="J221" s="15">
        <v>92973</v>
      </c>
      <c r="K221" s="21">
        <v>37184</v>
      </c>
      <c r="L221" s="12">
        <v>10521</v>
      </c>
      <c r="M221" s="12">
        <v>3700</v>
      </c>
      <c r="N221" s="12"/>
      <c r="O221" s="12"/>
      <c r="P221" s="12">
        <v>2000</v>
      </c>
      <c r="Q221" s="12">
        <v>1000</v>
      </c>
      <c r="R221" s="12"/>
      <c r="S221" s="12">
        <v>400</v>
      </c>
      <c r="T221" s="12"/>
      <c r="U221" s="12">
        <v>1320</v>
      </c>
      <c r="V221" s="12">
        <f t="shared" si="3"/>
        <v>56125</v>
      </c>
      <c r="W221" s="12">
        <v>1230</v>
      </c>
      <c r="X221" s="12">
        <v>128</v>
      </c>
      <c r="Y221" s="12">
        <f>Table1[[#This Row],[LOAD K.M]]+Table1[[#This Row],[EMPTY K.M]]</f>
        <v>1358</v>
      </c>
      <c r="Z221" s="12">
        <f>Table1[[#This Row],[INVOICE AMOUNT2]]-Table1[[#This Row],[Total Exp.]]</f>
        <v>36848</v>
      </c>
      <c r="AA221" s="12">
        <f>Table1[[#This Row],[Total Exp.]]/Table1[[#This Row],[Total k.m]]</f>
        <v>41.329160530191459</v>
      </c>
      <c r="AB221" s="12">
        <f>Table1[[#This Row],[Profit/loss]]/Table1[[#This Row],[Total k.m]]</f>
        <v>27.134020618556701</v>
      </c>
      <c r="AC221" s="12">
        <f>Table1[[#This Row],[INVOICE AMOUNT2]]/Table1[[#This Row],[Total k.m]]</f>
        <v>68.463181148748163</v>
      </c>
    </row>
    <row r="222" spans="1:29" x14ac:dyDescent="0.3">
      <c r="A222" s="13">
        <v>220</v>
      </c>
      <c r="B222" s="25" t="s">
        <v>452</v>
      </c>
      <c r="C222" s="12" t="s">
        <v>105</v>
      </c>
      <c r="D222" s="10">
        <v>45986</v>
      </c>
      <c r="E222" s="24" t="s">
        <v>451</v>
      </c>
      <c r="F222" s="12" t="s">
        <v>35</v>
      </c>
      <c r="G222" s="12" t="s">
        <v>250</v>
      </c>
      <c r="H222" s="12" t="s">
        <v>315</v>
      </c>
      <c r="I222" s="14">
        <v>8</v>
      </c>
      <c r="J222" s="15">
        <v>84760</v>
      </c>
      <c r="K222" s="21">
        <v>12864</v>
      </c>
      <c r="L222" s="12">
        <v>5668</v>
      </c>
      <c r="M222" s="12">
        <v>3500</v>
      </c>
      <c r="N222" s="12"/>
      <c r="O222" s="12"/>
      <c r="P222" s="12">
        <v>2000</v>
      </c>
      <c r="Q222" s="12">
        <v>1000</v>
      </c>
      <c r="R222" s="12"/>
      <c r="S222" s="12"/>
      <c r="T222" s="12">
        <v>500</v>
      </c>
      <c r="U222" s="12">
        <v>2001</v>
      </c>
      <c r="V222" s="12">
        <f t="shared" si="3"/>
        <v>27533</v>
      </c>
      <c r="W222" s="12">
        <v>476</v>
      </c>
      <c r="X222" s="12"/>
      <c r="Y222" s="12">
        <f>Table1[[#This Row],[LOAD K.M]]+Table1[[#This Row],[EMPTY K.M]]</f>
        <v>476</v>
      </c>
      <c r="Z222" s="12">
        <f>Table1[[#This Row],[INVOICE AMOUNT2]]-Table1[[#This Row],[Total Exp.]]</f>
        <v>57227</v>
      </c>
      <c r="AA222" s="12">
        <f>Table1[[#This Row],[Total Exp.]]/Table1[[#This Row],[Total k.m]]</f>
        <v>57.842436974789919</v>
      </c>
      <c r="AB222" s="12">
        <f>Table1[[#This Row],[Profit/loss]]/Table1[[#This Row],[Total k.m]]</f>
        <v>120.22478991596638</v>
      </c>
      <c r="AC222" s="12">
        <f>Table1[[#This Row],[INVOICE AMOUNT2]]/Table1[[#This Row],[Total k.m]]</f>
        <v>178.0672268907563</v>
      </c>
    </row>
    <row r="223" spans="1:29" x14ac:dyDescent="0.3">
      <c r="A223" s="13">
        <v>221</v>
      </c>
      <c r="B223" s="25" t="s">
        <v>453</v>
      </c>
      <c r="C223" s="12" t="s">
        <v>72</v>
      </c>
      <c r="D223" s="10">
        <v>45986</v>
      </c>
      <c r="E223" s="24" t="s">
        <v>451</v>
      </c>
      <c r="F223" s="12" t="s">
        <v>65</v>
      </c>
      <c r="G223" s="12" t="s">
        <v>66</v>
      </c>
      <c r="H223" s="12" t="s">
        <v>32</v>
      </c>
      <c r="I223" s="14">
        <v>8</v>
      </c>
      <c r="J223" s="15">
        <v>146642</v>
      </c>
      <c r="K223" s="21">
        <v>56236</v>
      </c>
      <c r="L223" s="12"/>
      <c r="M223" s="12">
        <v>6000</v>
      </c>
      <c r="N223" s="12"/>
      <c r="O223" s="12"/>
      <c r="P223" s="12">
        <v>2000</v>
      </c>
      <c r="Q223" s="12">
        <v>1000</v>
      </c>
      <c r="R223" s="12"/>
      <c r="S223" s="12">
        <v>600</v>
      </c>
      <c r="T223" s="12"/>
      <c r="U223" s="12">
        <v>2640</v>
      </c>
      <c r="V223" s="12">
        <f t="shared" si="3"/>
        <v>68476</v>
      </c>
      <c r="W223" s="12">
        <v>1991</v>
      </c>
      <c r="X223" s="12">
        <v>35</v>
      </c>
      <c r="Y223" s="12">
        <f>Table1[[#This Row],[LOAD K.M]]+Table1[[#This Row],[EMPTY K.M]]</f>
        <v>2026</v>
      </c>
      <c r="Z223" s="12">
        <f>Table1[[#This Row],[INVOICE AMOUNT2]]-Table1[[#This Row],[Total Exp.]]</f>
        <v>78166</v>
      </c>
      <c r="AA223" s="12">
        <f>Table1[[#This Row],[Total Exp.]]/Table1[[#This Row],[Total k.m]]</f>
        <v>33.798617966436325</v>
      </c>
      <c r="AB223" s="12">
        <f>Table1[[#This Row],[Profit/loss]]/Table1[[#This Row],[Total k.m]]</f>
        <v>38.581441263573545</v>
      </c>
      <c r="AC223" s="12">
        <f>Table1[[#This Row],[INVOICE AMOUNT2]]/Table1[[#This Row],[Total k.m]]</f>
        <v>72.380059230009877</v>
      </c>
    </row>
    <row r="224" spans="1:29" x14ac:dyDescent="0.3">
      <c r="A224" s="13">
        <v>222</v>
      </c>
      <c r="B224" s="25" t="s">
        <v>454</v>
      </c>
      <c r="C224" s="12" t="s">
        <v>29</v>
      </c>
      <c r="D224" s="10">
        <v>45986</v>
      </c>
      <c r="E224" s="24" t="s">
        <v>455</v>
      </c>
      <c r="F224" s="12" t="s">
        <v>35</v>
      </c>
      <c r="G224" s="12" t="s">
        <v>36</v>
      </c>
      <c r="H224" s="12" t="s">
        <v>456</v>
      </c>
      <c r="I224" s="14">
        <v>6</v>
      </c>
      <c r="J224" s="15">
        <v>164417</v>
      </c>
      <c r="K224" s="21">
        <v>78508</v>
      </c>
      <c r="L224" s="12"/>
      <c r="M224" s="12">
        <v>7000</v>
      </c>
      <c r="N224" s="12"/>
      <c r="O224" s="12"/>
      <c r="P224" s="12">
        <v>2000</v>
      </c>
      <c r="Q224" s="12">
        <v>1000</v>
      </c>
      <c r="R224" s="12"/>
      <c r="S224" s="12">
        <v>300</v>
      </c>
      <c r="T224" s="12">
        <v>4000</v>
      </c>
      <c r="U224" s="12">
        <v>2640</v>
      </c>
      <c r="V224" s="12">
        <f t="shared" si="3"/>
        <v>95448</v>
      </c>
      <c r="W224" s="12">
        <v>1480</v>
      </c>
      <c r="X224" s="12">
        <v>1448</v>
      </c>
      <c r="Y224" s="12">
        <f>Table1[[#This Row],[LOAD K.M]]+Table1[[#This Row],[EMPTY K.M]]</f>
        <v>2928</v>
      </c>
      <c r="Z224" s="12">
        <f>Table1[[#This Row],[INVOICE AMOUNT2]]-Table1[[#This Row],[Total Exp.]]</f>
        <v>68969</v>
      </c>
      <c r="AA224" s="12">
        <f>Table1[[#This Row],[Total Exp.]]/Table1[[#This Row],[Total k.m]]</f>
        <v>32.598360655737707</v>
      </c>
      <c r="AB224" s="12">
        <f>Table1[[#This Row],[Profit/loss]]/Table1[[#This Row],[Total k.m]]</f>
        <v>23.554986338797814</v>
      </c>
      <c r="AC224" s="12">
        <f>Table1[[#This Row],[INVOICE AMOUNT2]]/Table1[[#This Row],[Total k.m]]</f>
        <v>56.153346994535518</v>
      </c>
    </row>
    <row r="225" spans="1:29" x14ac:dyDescent="0.3">
      <c r="A225" s="13">
        <v>223</v>
      </c>
      <c r="B225" s="25" t="s">
        <v>457</v>
      </c>
      <c r="C225" s="13" t="s">
        <v>63</v>
      </c>
      <c r="D225" s="10">
        <v>45986</v>
      </c>
      <c r="E225" s="11" t="s">
        <v>455</v>
      </c>
      <c r="F225" s="13" t="s">
        <v>35</v>
      </c>
      <c r="G225" s="13" t="s">
        <v>99</v>
      </c>
      <c r="H225" s="13" t="s">
        <v>55</v>
      </c>
      <c r="I225" s="14">
        <v>6</v>
      </c>
      <c r="J225" s="14">
        <v>114918</v>
      </c>
      <c r="K225" s="29">
        <v>46237</v>
      </c>
      <c r="L225" s="13">
        <v>17520</v>
      </c>
      <c r="M225" s="13">
        <v>4000</v>
      </c>
      <c r="N225" s="13"/>
      <c r="O225" s="13"/>
      <c r="P225" s="13">
        <v>2000</v>
      </c>
      <c r="Q225" s="13">
        <v>1500</v>
      </c>
      <c r="R225" s="13"/>
      <c r="S225" s="13"/>
      <c r="T225" s="13"/>
      <c r="U225" s="13">
        <v>2640</v>
      </c>
      <c r="V225" s="13">
        <f t="shared" si="3"/>
        <v>73897</v>
      </c>
      <c r="W225" s="13">
        <v>1610</v>
      </c>
      <c r="X225" s="13">
        <v>114</v>
      </c>
      <c r="Y225" s="13">
        <f>Table1[[#This Row],[LOAD K.M]]+Table1[[#This Row],[EMPTY K.M]]</f>
        <v>1724</v>
      </c>
      <c r="Z225" s="13">
        <f>Table1[[#This Row],[INVOICE AMOUNT2]]-Table1[[#This Row],[Total Exp.]]</f>
        <v>41021</v>
      </c>
      <c r="AA225" s="13">
        <f>Table1[[#This Row],[Total Exp.]]/Table1[[#This Row],[Total k.m]]</f>
        <v>42.863689095127611</v>
      </c>
      <c r="AB225" s="13">
        <f>Table1[[#This Row],[Profit/loss]]/Table1[[#This Row],[Total k.m]]</f>
        <v>23.794083526682133</v>
      </c>
      <c r="AC225" s="12">
        <f>Table1[[#This Row],[INVOICE AMOUNT2]]/Table1[[#This Row],[Total k.m]]</f>
        <v>66.657772621809741</v>
      </c>
    </row>
    <row r="226" spans="1:29" x14ac:dyDescent="0.3">
      <c r="A226" s="13">
        <v>224</v>
      </c>
      <c r="B226" s="25" t="s">
        <v>458</v>
      </c>
      <c r="C226" s="12" t="s">
        <v>109</v>
      </c>
      <c r="D226" s="10">
        <v>45986</v>
      </c>
      <c r="E226" s="24" t="s">
        <v>455</v>
      </c>
      <c r="F226" s="12" t="s">
        <v>178</v>
      </c>
      <c r="G226" s="12" t="s">
        <v>309</v>
      </c>
      <c r="H226" s="12" t="s">
        <v>146</v>
      </c>
      <c r="I226" s="14">
        <v>6</v>
      </c>
      <c r="J226" s="15">
        <v>75713</v>
      </c>
      <c r="K226" s="21">
        <v>17499</v>
      </c>
      <c r="L226" s="12"/>
      <c r="M226" s="12">
        <v>5000</v>
      </c>
      <c r="N226" s="12"/>
      <c r="O226" s="12"/>
      <c r="P226" s="12">
        <v>2000</v>
      </c>
      <c r="Q226" s="12">
        <v>1000</v>
      </c>
      <c r="R226" s="12"/>
      <c r="S226" s="12">
        <v>1150</v>
      </c>
      <c r="T226" s="12"/>
      <c r="U226" s="12">
        <v>740</v>
      </c>
      <c r="V226" s="12">
        <f t="shared" si="3"/>
        <v>27389</v>
      </c>
      <c r="W226" s="12">
        <v>532</v>
      </c>
      <c r="X226" s="12">
        <v>117</v>
      </c>
      <c r="Y226" s="12">
        <f>Table1[[#This Row],[LOAD K.M]]+Table1[[#This Row],[EMPTY K.M]]</f>
        <v>649</v>
      </c>
      <c r="Z226" s="12">
        <f>Table1[[#This Row],[INVOICE AMOUNT2]]-Table1[[#This Row],[Total Exp.]]</f>
        <v>48324</v>
      </c>
      <c r="AA226" s="12">
        <f>Table1[[#This Row],[Total Exp.]]/Table1[[#This Row],[Total k.m]]</f>
        <v>42.20184899845917</v>
      </c>
      <c r="AB226" s="12">
        <f>Table1[[#This Row],[Profit/loss]]/Table1[[#This Row],[Total k.m]]</f>
        <v>74.45916795069337</v>
      </c>
      <c r="AC226" s="12">
        <f>Table1[[#This Row],[INVOICE AMOUNT2]]/Table1[[#This Row],[Total k.m]]</f>
        <v>116.66101694915254</v>
      </c>
    </row>
    <row r="227" spans="1:29" x14ac:dyDescent="0.3">
      <c r="A227" s="13">
        <v>225</v>
      </c>
      <c r="B227" s="57" t="s">
        <v>459</v>
      </c>
      <c r="C227" s="12" t="s">
        <v>59</v>
      </c>
      <c r="D227" s="10">
        <v>45986</v>
      </c>
      <c r="E227" s="24" t="s">
        <v>455</v>
      </c>
      <c r="F227" s="12" t="s">
        <v>30</v>
      </c>
      <c r="G227" s="12" t="s">
        <v>326</v>
      </c>
      <c r="H227" s="12" t="s">
        <v>32</v>
      </c>
      <c r="I227" s="14">
        <v>6</v>
      </c>
      <c r="J227" s="15">
        <v>25000</v>
      </c>
      <c r="K227" s="21">
        <v>14930</v>
      </c>
      <c r="L227" s="12">
        <v>4178</v>
      </c>
      <c r="M227" s="12">
        <v>3000</v>
      </c>
      <c r="N227" s="12"/>
      <c r="O227" s="12"/>
      <c r="P227" s="12"/>
      <c r="Q227" s="12">
        <v>1000</v>
      </c>
      <c r="R227" s="12"/>
      <c r="S227" s="12"/>
      <c r="T227" s="12"/>
      <c r="U227" s="12"/>
      <c r="V227" s="12">
        <f t="shared" si="3"/>
        <v>23108</v>
      </c>
      <c r="W227" s="12">
        <v>485</v>
      </c>
      <c r="X227" s="12">
        <v>67</v>
      </c>
      <c r="Y227" s="12">
        <f>Table1[[#This Row],[LOAD K.M]]+Table1[[#This Row],[EMPTY K.M]]</f>
        <v>552</v>
      </c>
      <c r="Z227" s="12">
        <f>Table1[[#This Row],[INVOICE AMOUNT2]]-Table1[[#This Row],[Total Exp.]]</f>
        <v>1892</v>
      </c>
      <c r="AA227" s="12">
        <f>Table1[[#This Row],[Total Exp.]]/Table1[[#This Row],[Total k.m]]</f>
        <v>41.862318840579711</v>
      </c>
      <c r="AB227" s="12">
        <f>Table1[[#This Row],[Profit/loss]]/Table1[[#This Row],[Total k.m]]</f>
        <v>3.4275362318840581</v>
      </c>
      <c r="AC227" s="12">
        <f>Table1[[#This Row],[INVOICE AMOUNT2]]/Table1[[#This Row],[Total k.m]]</f>
        <v>45.289855072463766</v>
      </c>
    </row>
    <row r="228" spans="1:29" x14ac:dyDescent="0.3">
      <c r="A228" s="13">
        <v>226</v>
      </c>
      <c r="B228" s="25" t="s">
        <v>460</v>
      </c>
      <c r="C228" s="12" t="s">
        <v>105</v>
      </c>
      <c r="D228" s="10">
        <v>45986</v>
      </c>
      <c r="E228" s="24" t="s">
        <v>455</v>
      </c>
      <c r="F228" s="12" t="s">
        <v>30</v>
      </c>
      <c r="G228" s="12" t="s">
        <v>315</v>
      </c>
      <c r="H228" s="12" t="s">
        <v>36</v>
      </c>
      <c r="I228" s="14">
        <v>8</v>
      </c>
      <c r="J228" s="15">
        <v>25000</v>
      </c>
      <c r="K228" s="21">
        <v>20620</v>
      </c>
      <c r="L228" s="12">
        <v>3504</v>
      </c>
      <c r="M228" s="12">
        <v>1000</v>
      </c>
      <c r="N228" s="12"/>
      <c r="O228" s="12"/>
      <c r="P228" s="12">
        <v>2000</v>
      </c>
      <c r="Q228" s="12">
        <v>1000</v>
      </c>
      <c r="R228" s="12"/>
      <c r="S228" s="12"/>
      <c r="T228" s="12"/>
      <c r="U228" s="12"/>
      <c r="V228" s="12">
        <f t="shared" si="3"/>
        <v>28124</v>
      </c>
      <c r="W228" s="12">
        <v>699</v>
      </c>
      <c r="X228" s="12">
        <v>60</v>
      </c>
      <c r="Y228" s="12">
        <f>Table1[[#This Row],[LOAD K.M]]+Table1[[#This Row],[EMPTY K.M]]</f>
        <v>759</v>
      </c>
      <c r="Z228" s="12">
        <f>Table1[[#This Row],[INVOICE AMOUNT2]]-Table1[[#This Row],[Total Exp.]]</f>
        <v>-3124</v>
      </c>
      <c r="AA228" s="12">
        <f>Table1[[#This Row],[Total Exp.]]/Table1[[#This Row],[Total k.m]]</f>
        <v>37.054018445322797</v>
      </c>
      <c r="AB228" s="12">
        <f>Table1[[#This Row],[Profit/loss]]/Table1[[#This Row],[Total k.m]]</f>
        <v>-4.1159420289855069</v>
      </c>
      <c r="AC228" s="12">
        <f>Table1[[#This Row],[INVOICE AMOUNT2]]/Table1[[#This Row],[Total k.m]]</f>
        <v>32.938076416337289</v>
      </c>
    </row>
    <row r="229" spans="1:29" x14ac:dyDescent="0.3">
      <c r="A229" s="13">
        <v>227</v>
      </c>
      <c r="B229" s="25" t="s">
        <v>461</v>
      </c>
      <c r="C229" s="12" t="s">
        <v>134</v>
      </c>
      <c r="D229" s="10">
        <v>45986</v>
      </c>
      <c r="E229" s="24" t="s">
        <v>462</v>
      </c>
      <c r="F229" s="12" t="s">
        <v>35</v>
      </c>
      <c r="G229" s="12" t="s">
        <v>250</v>
      </c>
      <c r="H229" s="12" t="s">
        <v>463</v>
      </c>
      <c r="I229" s="14">
        <v>8</v>
      </c>
      <c r="J229" s="15">
        <v>88454</v>
      </c>
      <c r="K229" s="21">
        <v>22989</v>
      </c>
      <c r="L229" s="12">
        <v>10340</v>
      </c>
      <c r="M229" s="12">
        <v>3500</v>
      </c>
      <c r="N229" s="12"/>
      <c r="O229" s="12"/>
      <c r="P229" s="12">
        <v>2000</v>
      </c>
      <c r="Q229" s="12">
        <v>1000</v>
      </c>
      <c r="R229" s="12"/>
      <c r="S229" s="12">
        <v>2400</v>
      </c>
      <c r="T229" s="12"/>
      <c r="U229" s="12"/>
      <c r="V229" s="12">
        <f t="shared" si="3"/>
        <v>42229</v>
      </c>
      <c r="W229" s="12">
        <v>663</v>
      </c>
      <c r="X229" s="12">
        <v>195</v>
      </c>
      <c r="Y229" s="12">
        <f>Table1[[#This Row],[LOAD K.M]]+Table1[[#This Row],[EMPTY K.M]]</f>
        <v>858</v>
      </c>
      <c r="Z229" s="12">
        <f>Table1[[#This Row],[INVOICE AMOUNT2]]-Table1[[#This Row],[Total Exp.]]</f>
        <v>46225</v>
      </c>
      <c r="AA229" s="12">
        <f>Table1[[#This Row],[Total Exp.]]/Table1[[#This Row],[Total k.m]]</f>
        <v>49.217948717948715</v>
      </c>
      <c r="AB229" s="12">
        <f>Table1[[#This Row],[Profit/loss]]/Table1[[#This Row],[Total k.m]]</f>
        <v>53.875291375291376</v>
      </c>
      <c r="AC229" s="12">
        <f>Table1[[#This Row],[INVOICE AMOUNT2]]/Table1[[#This Row],[Total k.m]]</f>
        <v>103.0932400932401</v>
      </c>
    </row>
    <row r="230" spans="1:29" x14ac:dyDescent="0.3">
      <c r="A230" s="13">
        <v>228</v>
      </c>
      <c r="B230" s="25" t="s">
        <v>464</v>
      </c>
      <c r="C230" s="12" t="s">
        <v>34</v>
      </c>
      <c r="D230" s="10">
        <v>45986</v>
      </c>
      <c r="E230" s="24" t="s">
        <v>462</v>
      </c>
      <c r="F230" s="12" t="s">
        <v>65</v>
      </c>
      <c r="G230" s="12" t="s">
        <v>36</v>
      </c>
      <c r="H230" s="12" t="s">
        <v>32</v>
      </c>
      <c r="I230" s="14">
        <v>7</v>
      </c>
      <c r="J230" s="15">
        <v>71104</v>
      </c>
      <c r="K230" s="21">
        <v>20679</v>
      </c>
      <c r="L230" s="12">
        <v>8814</v>
      </c>
      <c r="M230" s="12">
        <v>1500</v>
      </c>
      <c r="N230" s="12"/>
      <c r="O230" s="12"/>
      <c r="P230" s="12">
        <v>2000</v>
      </c>
      <c r="Q230" s="12">
        <v>1000</v>
      </c>
      <c r="R230" s="12"/>
      <c r="S230" s="12">
        <v>400</v>
      </c>
      <c r="T230" s="12"/>
      <c r="U230" s="12"/>
      <c r="V230" s="12">
        <f t="shared" si="3"/>
        <v>34393</v>
      </c>
      <c r="W230" s="12">
        <v>699</v>
      </c>
      <c r="X230" s="12">
        <v>60</v>
      </c>
      <c r="Y230" s="12">
        <f>Table1[[#This Row],[LOAD K.M]]+Table1[[#This Row],[EMPTY K.M]]</f>
        <v>759</v>
      </c>
      <c r="Z230" s="12">
        <f>Table1[[#This Row],[INVOICE AMOUNT2]]-Table1[[#This Row],[Total Exp.]]</f>
        <v>36711</v>
      </c>
      <c r="AA230" s="12">
        <f>Table1[[#This Row],[Total Exp.]]/Table1[[#This Row],[Total k.m]]</f>
        <v>45.313570487483531</v>
      </c>
      <c r="AB230" s="12">
        <f>Table1[[#This Row],[Profit/loss]]/Table1[[#This Row],[Total k.m]]</f>
        <v>48.367588932806321</v>
      </c>
      <c r="AC230" s="12">
        <f>Table1[[#This Row],[INVOICE AMOUNT2]]/Table1[[#This Row],[Total k.m]]</f>
        <v>93.681159420289859</v>
      </c>
    </row>
    <row r="231" spans="1:29" x14ac:dyDescent="0.3">
      <c r="A231" s="13">
        <v>229</v>
      </c>
      <c r="B231" s="25" t="s">
        <v>465</v>
      </c>
      <c r="C231" s="12" t="s">
        <v>98</v>
      </c>
      <c r="D231" s="10">
        <v>45986</v>
      </c>
      <c r="E231" s="24" t="s">
        <v>462</v>
      </c>
      <c r="F231" s="12" t="s">
        <v>65</v>
      </c>
      <c r="G231" s="12" t="s">
        <v>36</v>
      </c>
      <c r="H231" s="12" t="s">
        <v>85</v>
      </c>
      <c r="I231" s="14">
        <v>7</v>
      </c>
      <c r="J231" s="15">
        <v>77800</v>
      </c>
      <c r="K231" s="21">
        <v>35519</v>
      </c>
      <c r="L231" s="12">
        <v>7746</v>
      </c>
      <c r="M231" s="12">
        <v>3000</v>
      </c>
      <c r="N231" s="12"/>
      <c r="O231" s="12"/>
      <c r="P231" s="12">
        <v>2000</v>
      </c>
      <c r="Q231" s="12">
        <v>1000</v>
      </c>
      <c r="R231" s="12"/>
      <c r="S231" s="12">
        <v>400</v>
      </c>
      <c r="T231" s="12">
        <v>4000</v>
      </c>
      <c r="U231" s="12">
        <v>1320</v>
      </c>
      <c r="V231" s="12">
        <f t="shared" si="3"/>
        <v>54985</v>
      </c>
      <c r="W231" s="12">
        <v>706</v>
      </c>
      <c r="X231" s="12">
        <v>637</v>
      </c>
      <c r="Y231" s="12">
        <f>Table1[[#This Row],[LOAD K.M]]+Table1[[#This Row],[EMPTY K.M]]</f>
        <v>1343</v>
      </c>
      <c r="Z231" s="12">
        <f>Table1[[#This Row],[INVOICE AMOUNT2]]-Table1[[#This Row],[Total Exp.]]</f>
        <v>22815</v>
      </c>
      <c r="AA231" s="12">
        <f>Table1[[#This Row],[Total Exp.]]/Table1[[#This Row],[Total k.m]]</f>
        <v>40.941921072226357</v>
      </c>
      <c r="AB231" s="12">
        <f>Table1[[#This Row],[Profit/loss]]/Table1[[#This Row],[Total k.m]]</f>
        <v>16.988086373790022</v>
      </c>
      <c r="AC231" s="12">
        <f>Table1[[#This Row],[INVOICE AMOUNT2]]/Table1[[#This Row],[Total k.m]]</f>
        <v>57.930007446016383</v>
      </c>
    </row>
    <row r="232" spans="1:29" x14ac:dyDescent="0.3">
      <c r="A232" s="13">
        <v>230</v>
      </c>
      <c r="B232" s="25" t="s">
        <v>466</v>
      </c>
      <c r="C232" s="12" t="s">
        <v>69</v>
      </c>
      <c r="D232" s="10">
        <v>45986</v>
      </c>
      <c r="E232" s="24" t="s">
        <v>462</v>
      </c>
      <c r="F232" s="12" t="s">
        <v>35</v>
      </c>
      <c r="G232" s="12" t="s">
        <v>36</v>
      </c>
      <c r="H232" s="12" t="s">
        <v>70</v>
      </c>
      <c r="I232" s="14">
        <v>8</v>
      </c>
      <c r="J232" s="15">
        <v>131382</v>
      </c>
      <c r="K232" s="27">
        <v>58824</v>
      </c>
      <c r="L232" s="12">
        <v>18377</v>
      </c>
      <c r="M232" s="12">
        <v>4500</v>
      </c>
      <c r="N232" s="12"/>
      <c r="O232" s="12"/>
      <c r="P232" s="12">
        <v>2000</v>
      </c>
      <c r="Q232" s="12">
        <v>1000</v>
      </c>
      <c r="R232" s="12"/>
      <c r="S232" s="12">
        <v>400</v>
      </c>
      <c r="T232" s="12"/>
      <c r="U232" s="12">
        <v>2640</v>
      </c>
      <c r="V232" s="12">
        <f t="shared" si="3"/>
        <v>87741</v>
      </c>
      <c r="W232" s="12">
        <v>1323</v>
      </c>
      <c r="X232" s="12">
        <v>842</v>
      </c>
      <c r="Y232" s="12">
        <f>Table1[[#This Row],[LOAD K.M]]+Table1[[#This Row],[EMPTY K.M]]</f>
        <v>2165</v>
      </c>
      <c r="Z232" s="12">
        <f>Table1[[#This Row],[INVOICE AMOUNT2]]-Table1[[#This Row],[Total Exp.]]</f>
        <v>43641</v>
      </c>
      <c r="AA232" s="12">
        <f>Table1[[#This Row],[Total Exp.]]/Table1[[#This Row],[Total k.m]]</f>
        <v>40.527020785219399</v>
      </c>
      <c r="AB232" s="12">
        <f>Table1[[#This Row],[Profit/loss]]/Table1[[#This Row],[Total k.m]]</f>
        <v>20.157505773672057</v>
      </c>
      <c r="AC232" s="12">
        <f>Table1[[#This Row],[INVOICE AMOUNT2]]/Table1[[#This Row],[Total k.m]]</f>
        <v>60.684526558891456</v>
      </c>
    </row>
    <row r="233" spans="1:29" x14ac:dyDescent="0.3">
      <c r="A233" s="13">
        <v>231</v>
      </c>
      <c r="B233" s="25" t="s">
        <v>467</v>
      </c>
      <c r="C233" s="12" t="s">
        <v>84</v>
      </c>
      <c r="D233" s="10">
        <v>45986</v>
      </c>
      <c r="E233" s="24" t="s">
        <v>468</v>
      </c>
      <c r="F233" s="12" t="s">
        <v>35</v>
      </c>
      <c r="G233" s="12" t="s">
        <v>36</v>
      </c>
      <c r="H233" s="12" t="s">
        <v>469</v>
      </c>
      <c r="I233" s="14">
        <v>8</v>
      </c>
      <c r="J233" s="15">
        <v>103814</v>
      </c>
      <c r="K233" s="21">
        <v>39607</v>
      </c>
      <c r="L233" s="12"/>
      <c r="M233" s="12">
        <v>4500</v>
      </c>
      <c r="N233" s="12"/>
      <c r="O233" s="12"/>
      <c r="P233" s="12">
        <v>2000</v>
      </c>
      <c r="Q233" s="12">
        <v>1000</v>
      </c>
      <c r="R233" s="12"/>
      <c r="S233" s="12">
        <v>300</v>
      </c>
      <c r="T233" s="12"/>
      <c r="U233" s="12">
        <v>1320</v>
      </c>
      <c r="V233" s="12">
        <f t="shared" si="3"/>
        <v>48727</v>
      </c>
      <c r="W233" s="12">
        <v>1226</v>
      </c>
      <c r="X233" s="12">
        <v>203</v>
      </c>
      <c r="Y233" s="12">
        <f>Table1[[#This Row],[LOAD K.M]]+Table1[[#This Row],[EMPTY K.M]]</f>
        <v>1429</v>
      </c>
      <c r="Z233" s="12">
        <f>Table1[[#This Row],[INVOICE AMOUNT2]]-Table1[[#This Row],[Total Exp.]]</f>
        <v>55087</v>
      </c>
      <c r="AA233" s="12">
        <f>Table1[[#This Row],[Total Exp.]]/Table1[[#This Row],[Total k.m]]</f>
        <v>34.098670398880337</v>
      </c>
      <c r="AB233" s="12">
        <f>Table1[[#This Row],[Profit/loss]]/Table1[[#This Row],[Total k.m]]</f>
        <v>38.549335199440165</v>
      </c>
      <c r="AC233" s="12">
        <f>Table1[[#This Row],[INVOICE AMOUNT2]]/Table1[[#This Row],[Total k.m]]</f>
        <v>72.648005598320509</v>
      </c>
    </row>
    <row r="234" spans="1:29" x14ac:dyDescent="0.3">
      <c r="A234" s="13">
        <v>232</v>
      </c>
      <c r="B234" s="25" t="s">
        <v>470</v>
      </c>
      <c r="C234" s="12" t="s">
        <v>39</v>
      </c>
      <c r="D234" s="10">
        <v>45986</v>
      </c>
      <c r="E234" s="24" t="s">
        <v>468</v>
      </c>
      <c r="F234" s="12" t="s">
        <v>35</v>
      </c>
      <c r="G234" s="12" t="s">
        <v>250</v>
      </c>
      <c r="H234" s="12" t="s">
        <v>36</v>
      </c>
      <c r="I234" s="14">
        <v>6</v>
      </c>
      <c r="J234" s="15">
        <v>72152</v>
      </c>
      <c r="K234" s="21">
        <v>22225</v>
      </c>
      <c r="L234" s="12"/>
      <c r="M234" s="12">
        <v>1500</v>
      </c>
      <c r="N234" s="12">
        <v>600</v>
      </c>
      <c r="O234" s="12"/>
      <c r="P234" s="12">
        <v>2000</v>
      </c>
      <c r="Q234" s="12">
        <v>1000</v>
      </c>
      <c r="R234" s="12"/>
      <c r="S234" s="12">
        <v>400</v>
      </c>
      <c r="T234" s="12"/>
      <c r="U234" s="12"/>
      <c r="V234" s="12">
        <f t="shared" si="3"/>
        <v>27725</v>
      </c>
      <c r="W234" s="12">
        <v>809</v>
      </c>
      <c r="X234" s="12">
        <v>9</v>
      </c>
      <c r="Y234" s="12">
        <f>Table1[[#This Row],[LOAD K.M]]+Table1[[#This Row],[EMPTY K.M]]</f>
        <v>818</v>
      </c>
      <c r="Z234" s="12">
        <f>Table1[[#This Row],[INVOICE AMOUNT2]]-Table1[[#This Row],[Total Exp.]]</f>
        <v>44427</v>
      </c>
      <c r="AA234" s="12">
        <f>Table1[[#This Row],[Total Exp.]]/Table1[[#This Row],[Total k.m]]</f>
        <v>33.893643031784841</v>
      </c>
      <c r="AB234" s="12">
        <f>Table1[[#This Row],[Profit/loss]]/Table1[[#This Row],[Total k.m]]</f>
        <v>54.311735941320293</v>
      </c>
      <c r="AC234" s="12">
        <f>Table1[[#This Row],[INVOICE AMOUNT2]]/Table1[[#This Row],[Total k.m]]</f>
        <v>88.205378973105141</v>
      </c>
    </row>
    <row r="235" spans="1:29" x14ac:dyDescent="0.3">
      <c r="A235" s="13">
        <v>233</v>
      </c>
      <c r="B235" s="25" t="s">
        <v>471</v>
      </c>
      <c r="C235" s="12"/>
      <c r="D235" s="10">
        <v>45986</v>
      </c>
      <c r="E235" s="24"/>
      <c r="F235" s="12"/>
      <c r="G235" s="12"/>
      <c r="H235" s="12"/>
      <c r="I235" s="14"/>
      <c r="J235" s="15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>
        <f t="shared" si="3"/>
        <v>0</v>
      </c>
      <c r="W235" s="12"/>
      <c r="X235" s="12"/>
      <c r="Y235" s="12">
        <f>Table1[[#This Row],[LOAD K.M]]+Table1[[#This Row],[EMPTY K.M]]</f>
        <v>0</v>
      </c>
      <c r="Z235" s="12">
        <f>Table1[[#This Row],[INVOICE AMOUNT2]]-Table1[[#This Row],[Total Exp.]]</f>
        <v>0</v>
      </c>
      <c r="AA235" s="12" t="e">
        <f>Table1[[#This Row],[Total Exp.]]/Table1[[#This Row],[Total k.m]]</f>
        <v>#DIV/0!</v>
      </c>
      <c r="AB235" s="12" t="e">
        <f>Table1[[#This Row],[Profit/loss]]/Table1[[#This Row],[Total k.m]]</f>
        <v>#DIV/0!</v>
      </c>
      <c r="AC235" s="12" t="e">
        <f>Table1[[#This Row],[INVOICE AMOUNT2]]/Table1[[#This Row],[Total k.m]]</f>
        <v>#DIV/0!</v>
      </c>
    </row>
    <row r="236" spans="1:29" x14ac:dyDescent="0.3">
      <c r="A236" s="13">
        <v>234</v>
      </c>
      <c r="B236" s="25" t="s">
        <v>472</v>
      </c>
      <c r="C236" s="12" t="s">
        <v>109</v>
      </c>
      <c r="D236" s="10">
        <v>45986</v>
      </c>
      <c r="E236" s="24" t="s">
        <v>473</v>
      </c>
      <c r="F236" s="12" t="s">
        <v>30</v>
      </c>
      <c r="G236" s="12" t="s">
        <v>315</v>
      </c>
      <c r="H236" s="12" t="s">
        <v>36</v>
      </c>
      <c r="I236" s="14">
        <v>8</v>
      </c>
      <c r="J236" s="15">
        <v>25000</v>
      </c>
      <c r="K236" s="21">
        <v>20020</v>
      </c>
      <c r="L236" s="12"/>
      <c r="M236" s="12">
        <v>200</v>
      </c>
      <c r="N236" s="12"/>
      <c r="O236" s="12"/>
      <c r="P236" s="12">
        <v>2000</v>
      </c>
      <c r="Q236" s="12">
        <v>1000</v>
      </c>
      <c r="R236" s="12"/>
      <c r="S236" s="12"/>
      <c r="T236" s="12"/>
      <c r="U236" s="12">
        <v>1000</v>
      </c>
      <c r="V236" s="12">
        <f t="shared" si="3"/>
        <v>24220</v>
      </c>
      <c r="W236" s="12">
        <v>688</v>
      </c>
      <c r="X236" s="12">
        <v>46</v>
      </c>
      <c r="Y236" s="12">
        <f>Table1[[#This Row],[LOAD K.M]]+Table1[[#This Row],[EMPTY K.M]]</f>
        <v>734</v>
      </c>
      <c r="Z236" s="12">
        <f>Table1[[#This Row],[INVOICE AMOUNT2]]-Table1[[#This Row],[Total Exp.]]</f>
        <v>780</v>
      </c>
      <c r="AA236" s="12">
        <f>Table1[[#This Row],[Total Exp.]]/Table1[[#This Row],[Total k.m]]</f>
        <v>32.997275204359674</v>
      </c>
      <c r="AB236" s="12">
        <f>Table1[[#This Row],[Profit/loss]]/Table1[[#This Row],[Total k.m]]</f>
        <v>1.0626702997275204</v>
      </c>
      <c r="AC236" s="12">
        <f>Table1[[#This Row],[INVOICE AMOUNT2]]/Table1[[#This Row],[Total k.m]]</f>
        <v>34.059945504087196</v>
      </c>
    </row>
    <row r="237" spans="1:29" x14ac:dyDescent="0.3">
      <c r="A237" s="13">
        <v>235</v>
      </c>
      <c r="B237" s="25" t="s">
        <v>474</v>
      </c>
      <c r="C237" s="12" t="s">
        <v>134</v>
      </c>
      <c r="D237" s="10">
        <v>45986</v>
      </c>
      <c r="E237" s="24" t="s">
        <v>475</v>
      </c>
      <c r="F237" s="12" t="s">
        <v>30</v>
      </c>
      <c r="G237" s="12" t="s">
        <v>315</v>
      </c>
      <c r="H237" s="12" t="s">
        <v>36</v>
      </c>
      <c r="I237" s="14">
        <v>8</v>
      </c>
      <c r="J237" s="15">
        <v>25000</v>
      </c>
      <c r="K237" s="21">
        <v>19725</v>
      </c>
      <c r="L237" s="12">
        <v>5833</v>
      </c>
      <c r="M237" s="12">
        <v>1000</v>
      </c>
      <c r="N237" s="12"/>
      <c r="O237" s="12"/>
      <c r="P237" s="12">
        <v>2000</v>
      </c>
      <c r="Q237" s="12">
        <v>1000</v>
      </c>
      <c r="R237" s="12"/>
      <c r="S237" s="12">
        <v>200</v>
      </c>
      <c r="T237" s="12"/>
      <c r="U237" s="12"/>
      <c r="V237" s="12">
        <f t="shared" si="3"/>
        <v>29758</v>
      </c>
      <c r="W237" s="12">
        <v>670</v>
      </c>
      <c r="X237" s="12">
        <v>46</v>
      </c>
      <c r="Y237" s="12">
        <f>Table1[[#This Row],[LOAD K.M]]+Table1[[#This Row],[EMPTY K.M]]</f>
        <v>716</v>
      </c>
      <c r="Z237" s="12">
        <f>Table1[[#This Row],[INVOICE AMOUNT2]]-Table1[[#This Row],[Total Exp.]]</f>
        <v>-4758</v>
      </c>
      <c r="AA237" s="12">
        <f>Table1[[#This Row],[Total Exp.]]/Table1[[#This Row],[Total k.m]]</f>
        <v>41.561452513966479</v>
      </c>
      <c r="AB237" s="12">
        <f>Table1[[#This Row],[Profit/loss]]/Table1[[#This Row],[Total k.m]]</f>
        <v>-6.6452513966480451</v>
      </c>
      <c r="AC237" s="12">
        <f>Table1[[#This Row],[INVOICE AMOUNT2]]/Table1[[#This Row],[Total k.m]]</f>
        <v>34.916201117318437</v>
      </c>
    </row>
    <row r="238" spans="1:29" x14ac:dyDescent="0.3">
      <c r="A238" s="13">
        <v>236</v>
      </c>
      <c r="B238" s="25" t="s">
        <v>476</v>
      </c>
      <c r="C238" s="13" t="s">
        <v>77</v>
      </c>
      <c r="D238" s="10">
        <v>45986</v>
      </c>
      <c r="E238" s="24" t="s">
        <v>429</v>
      </c>
      <c r="F238" s="12" t="s">
        <v>35</v>
      </c>
      <c r="G238" s="12" t="s">
        <v>250</v>
      </c>
      <c r="H238" s="12" t="s">
        <v>194</v>
      </c>
      <c r="I238" s="14">
        <v>8</v>
      </c>
      <c r="J238" s="15">
        <v>122814</v>
      </c>
      <c r="K238" s="21">
        <v>47918</v>
      </c>
      <c r="L238" s="12">
        <v>16923</v>
      </c>
      <c r="M238" s="12">
        <v>1500</v>
      </c>
      <c r="N238" s="12"/>
      <c r="O238" s="12"/>
      <c r="P238" s="12">
        <v>2000</v>
      </c>
      <c r="Q238" s="12">
        <v>1000</v>
      </c>
      <c r="R238" s="12"/>
      <c r="S238" s="12">
        <v>400</v>
      </c>
      <c r="T238" s="12"/>
      <c r="U238" s="12">
        <v>2640</v>
      </c>
      <c r="V238" s="12">
        <f t="shared" si="3"/>
        <v>72381</v>
      </c>
      <c r="W238" s="12">
        <v>1061</v>
      </c>
      <c r="X238" s="12">
        <v>752</v>
      </c>
      <c r="Y238" s="12">
        <f>Table1[[#This Row],[LOAD K.M]]+Table1[[#This Row],[EMPTY K.M]]</f>
        <v>1813</v>
      </c>
      <c r="Z238" s="12">
        <f>Table1[[#This Row],[INVOICE AMOUNT2]]-Table1[[#This Row],[Total Exp.]]</f>
        <v>50433</v>
      </c>
      <c r="AA238" s="12">
        <f>Table1[[#This Row],[Total Exp.]]/Table1[[#This Row],[Total k.m]]</f>
        <v>39.923331494760063</v>
      </c>
      <c r="AB238" s="12">
        <f>Table1[[#This Row],[Profit/loss]]/Table1[[#This Row],[Total k.m]]</f>
        <v>27.81742967457253</v>
      </c>
      <c r="AC238" s="12">
        <f>Table1[[#This Row],[INVOICE AMOUNT2]]/Table1[[#This Row],[Total k.m]]</f>
        <v>67.7407611693326</v>
      </c>
    </row>
    <row r="239" spans="1:29" x14ac:dyDescent="0.3">
      <c r="A239" s="13">
        <v>237</v>
      </c>
      <c r="B239" s="25" t="s">
        <v>477</v>
      </c>
      <c r="C239" s="12" t="s">
        <v>102</v>
      </c>
      <c r="D239" s="10">
        <v>45986</v>
      </c>
      <c r="E239" s="24" t="s">
        <v>478</v>
      </c>
      <c r="F239" s="12" t="s">
        <v>35</v>
      </c>
      <c r="G239" s="12" t="s">
        <v>36</v>
      </c>
      <c r="H239" s="12" t="s">
        <v>70</v>
      </c>
      <c r="I239" s="14">
        <v>8</v>
      </c>
      <c r="J239" s="15">
        <v>102054</v>
      </c>
      <c r="K239" s="21">
        <v>60190</v>
      </c>
      <c r="L239" s="12"/>
      <c r="M239" s="12">
        <v>4500</v>
      </c>
      <c r="N239" s="12"/>
      <c r="O239" s="12">
        <v>1000</v>
      </c>
      <c r="P239" s="12">
        <v>2000</v>
      </c>
      <c r="Q239" s="12">
        <v>1000</v>
      </c>
      <c r="R239" s="12"/>
      <c r="S239" s="12">
        <v>500</v>
      </c>
      <c r="T239" s="12"/>
      <c r="U239" s="12">
        <v>2640</v>
      </c>
      <c r="V239" s="12">
        <f t="shared" si="3"/>
        <v>71830</v>
      </c>
      <c r="W239" s="12">
        <v>1326</v>
      </c>
      <c r="X239" s="12">
        <v>888</v>
      </c>
      <c r="Y239" s="12">
        <f>Table1[[#This Row],[LOAD K.M]]+Table1[[#This Row],[EMPTY K.M]]</f>
        <v>2214</v>
      </c>
      <c r="Z239" s="12">
        <f>Table1[[#This Row],[INVOICE AMOUNT2]]-Table1[[#This Row],[Total Exp.]]</f>
        <v>30224</v>
      </c>
      <c r="AA239" s="12">
        <f>Table1[[#This Row],[Total Exp.]]/Table1[[#This Row],[Total k.m]]</f>
        <v>32.443541102077688</v>
      </c>
      <c r="AB239" s="12">
        <f>Table1[[#This Row],[Profit/loss]]/Table1[[#This Row],[Total k.m]]</f>
        <v>13.651309846431797</v>
      </c>
      <c r="AC239" s="12">
        <f>Table1[[#This Row],[INVOICE AMOUNT2]]/Table1[[#This Row],[Total k.m]]</f>
        <v>46.094850948509482</v>
      </c>
    </row>
    <row r="240" spans="1:29" x14ac:dyDescent="0.3">
      <c r="A240" s="13">
        <v>238</v>
      </c>
      <c r="B240" s="25" t="s">
        <v>480</v>
      </c>
      <c r="C240" s="12" t="s">
        <v>46</v>
      </c>
      <c r="D240" s="10">
        <v>45986</v>
      </c>
      <c r="E240" s="24" t="s">
        <v>478</v>
      </c>
      <c r="F240" s="12" t="s">
        <v>35</v>
      </c>
      <c r="G240" s="12" t="s">
        <v>36</v>
      </c>
      <c r="H240" s="12" t="s">
        <v>417</v>
      </c>
      <c r="I240" s="14">
        <v>8</v>
      </c>
      <c r="J240" s="15">
        <v>203181</v>
      </c>
      <c r="K240" s="21">
        <v>82557</v>
      </c>
      <c r="L240" s="12"/>
      <c r="M240" s="12">
        <v>6000</v>
      </c>
      <c r="N240" s="12"/>
      <c r="O240" s="12"/>
      <c r="P240" s="12">
        <v>2000</v>
      </c>
      <c r="Q240" s="12">
        <v>1000</v>
      </c>
      <c r="R240" s="12"/>
      <c r="S240" s="12">
        <v>800</v>
      </c>
      <c r="T240" s="12"/>
      <c r="U240" s="12">
        <v>2640</v>
      </c>
      <c r="V240" s="12">
        <f t="shared" si="3"/>
        <v>94997</v>
      </c>
      <c r="W240" s="12">
        <v>1739</v>
      </c>
      <c r="X240" s="12">
        <v>1262</v>
      </c>
      <c r="Y240" s="12">
        <f>Table1[[#This Row],[LOAD K.M]]+Table1[[#This Row],[EMPTY K.M]]</f>
        <v>3001</v>
      </c>
      <c r="Z240" s="12">
        <f>Table1[[#This Row],[INVOICE AMOUNT2]]-Table1[[#This Row],[Total Exp.]]</f>
        <v>108184</v>
      </c>
      <c r="AA240" s="12">
        <f>Table1[[#This Row],[Total Exp.]]/Table1[[#This Row],[Total k.m]]</f>
        <v>31.655114961679441</v>
      </c>
      <c r="AB240" s="12">
        <f>Table1[[#This Row],[Profit/loss]]/Table1[[#This Row],[Total k.m]]</f>
        <v>36.049316894368545</v>
      </c>
      <c r="AC240" s="12">
        <f>Table1[[#This Row],[INVOICE AMOUNT2]]/Table1[[#This Row],[Total k.m]]</f>
        <v>67.704431856047989</v>
      </c>
    </row>
    <row r="241" spans="1:29" x14ac:dyDescent="0.3">
      <c r="A241" s="13">
        <v>239</v>
      </c>
      <c r="B241" s="25" t="s">
        <v>481</v>
      </c>
      <c r="C241" s="12" t="s">
        <v>59</v>
      </c>
      <c r="D241" s="10">
        <v>45986</v>
      </c>
      <c r="E241" s="24" t="s">
        <v>478</v>
      </c>
      <c r="F241" s="12" t="s">
        <v>35</v>
      </c>
      <c r="G241" s="12" t="s">
        <v>250</v>
      </c>
      <c r="H241" s="12" t="s">
        <v>482</v>
      </c>
      <c r="I241" s="14">
        <v>6</v>
      </c>
      <c r="J241" s="15">
        <v>150256</v>
      </c>
      <c r="K241" s="21">
        <v>65492</v>
      </c>
      <c r="L241" s="12"/>
      <c r="M241" s="12">
        <v>6000</v>
      </c>
      <c r="N241" s="12"/>
      <c r="O241" s="12">
        <v>2100</v>
      </c>
      <c r="P241" s="12">
        <v>2000</v>
      </c>
      <c r="Q241" s="12">
        <v>1000</v>
      </c>
      <c r="R241" s="12"/>
      <c r="S241" s="12">
        <v>600</v>
      </c>
      <c r="T241" s="12">
        <v>850</v>
      </c>
      <c r="U241" s="12"/>
      <c r="V241" s="12">
        <f t="shared" si="3"/>
        <v>78042</v>
      </c>
      <c r="W241" s="12">
        <v>1978</v>
      </c>
      <c r="X241" s="12">
        <v>427</v>
      </c>
      <c r="Y241" s="12">
        <f>Table1[[#This Row],[LOAD K.M]]+Table1[[#This Row],[EMPTY K.M]]</f>
        <v>2405</v>
      </c>
      <c r="Z241" s="12">
        <f>Table1[[#This Row],[INVOICE AMOUNT2]]-Table1[[#This Row],[Total Exp.]]</f>
        <v>72214</v>
      </c>
      <c r="AA241" s="12">
        <f>Table1[[#This Row],[Total Exp.]]/Table1[[#This Row],[Total k.m]]</f>
        <v>32.449896049896047</v>
      </c>
      <c r="AB241" s="12">
        <f>Table1[[#This Row],[Profit/loss]]/Table1[[#This Row],[Total k.m]]</f>
        <v>30.026611226611227</v>
      </c>
      <c r="AC241" s="12">
        <f>Table1[[#This Row],[INVOICE AMOUNT2]]/Table1[[#This Row],[Total k.m]]</f>
        <v>62.476507276507277</v>
      </c>
    </row>
    <row r="242" spans="1:29" x14ac:dyDescent="0.3">
      <c r="A242" s="13">
        <v>240</v>
      </c>
      <c r="B242" s="25" t="s">
        <v>483</v>
      </c>
      <c r="C242" s="12" t="s">
        <v>34</v>
      </c>
      <c r="D242" s="10">
        <v>45986</v>
      </c>
      <c r="E242" s="24" t="s">
        <v>478</v>
      </c>
      <c r="F242" s="12" t="s">
        <v>35</v>
      </c>
      <c r="G242" s="12" t="s">
        <v>250</v>
      </c>
      <c r="H242" s="12" t="s">
        <v>484</v>
      </c>
      <c r="I242" s="14">
        <v>7</v>
      </c>
      <c r="J242" s="15">
        <v>150256</v>
      </c>
      <c r="K242" s="21">
        <v>71065</v>
      </c>
      <c r="L242" s="12"/>
      <c r="M242" s="12">
        <v>7500</v>
      </c>
      <c r="N242" s="12"/>
      <c r="O242" s="12">
        <v>6036</v>
      </c>
      <c r="P242" s="12">
        <v>2000</v>
      </c>
      <c r="Q242" s="12">
        <v>1000</v>
      </c>
      <c r="R242" s="12"/>
      <c r="S242" s="12">
        <v>600</v>
      </c>
      <c r="T242" s="12">
        <v>2350</v>
      </c>
      <c r="U242" s="12">
        <v>4040</v>
      </c>
      <c r="V242" s="12">
        <f t="shared" si="3"/>
        <v>94591</v>
      </c>
      <c r="W242" s="12">
        <v>2120</v>
      </c>
      <c r="X242" s="12">
        <v>498</v>
      </c>
      <c r="Y242" s="12">
        <f>Table1[[#This Row],[LOAD K.M]]+Table1[[#This Row],[EMPTY K.M]]</f>
        <v>2618</v>
      </c>
      <c r="Z242" s="12">
        <f>Table1[[#This Row],[INVOICE AMOUNT2]]-Table1[[#This Row],[Total Exp.]]</f>
        <v>55665</v>
      </c>
      <c r="AA242" s="12">
        <f>Table1[[#This Row],[Total Exp.]]/Table1[[#This Row],[Total k.m]]</f>
        <v>36.13101604278075</v>
      </c>
      <c r="AB242" s="12">
        <f>Table1[[#This Row],[Profit/loss]]/Table1[[#This Row],[Total k.m]]</f>
        <v>21.262414056531703</v>
      </c>
      <c r="AC242" s="12">
        <f>Table1[[#This Row],[INVOICE AMOUNT2]]/Table1[[#This Row],[Total k.m]]</f>
        <v>57.393430099312454</v>
      </c>
    </row>
    <row r="243" spans="1:29" x14ac:dyDescent="0.3">
      <c r="A243" s="13">
        <v>241</v>
      </c>
      <c r="B243" s="25" t="s">
        <v>485</v>
      </c>
      <c r="C243" s="12" t="s">
        <v>98</v>
      </c>
      <c r="D243" s="10">
        <v>45986</v>
      </c>
      <c r="E243" s="24" t="s">
        <v>486</v>
      </c>
      <c r="F243" s="12" t="s">
        <v>178</v>
      </c>
      <c r="G243" s="12" t="s">
        <v>36</v>
      </c>
      <c r="H243" s="12" t="s">
        <v>373</v>
      </c>
      <c r="I243" s="14">
        <v>7</v>
      </c>
      <c r="J243" s="15">
        <v>92568</v>
      </c>
      <c r="K243" s="21">
        <v>40622</v>
      </c>
      <c r="L243" s="12"/>
      <c r="M243" s="12">
        <v>4500</v>
      </c>
      <c r="N243" s="12"/>
      <c r="O243" s="12"/>
      <c r="P243" s="12">
        <v>2000</v>
      </c>
      <c r="Q243" s="12">
        <v>1000</v>
      </c>
      <c r="R243" s="12"/>
      <c r="S243" s="12">
        <v>600</v>
      </c>
      <c r="T243" s="12">
        <v>850</v>
      </c>
      <c r="U243" s="12">
        <v>2640</v>
      </c>
      <c r="V243" s="12">
        <f t="shared" si="3"/>
        <v>52212</v>
      </c>
      <c r="W243" s="12">
        <v>1167</v>
      </c>
      <c r="X243" s="12">
        <v>332</v>
      </c>
      <c r="Y243" s="12">
        <f>Table1[[#This Row],[LOAD K.M]]+Table1[[#This Row],[EMPTY K.M]]</f>
        <v>1499</v>
      </c>
      <c r="Z243" s="12">
        <f>Table1[[#This Row],[INVOICE AMOUNT2]]-Table1[[#This Row],[Total Exp.]]</f>
        <v>40356</v>
      </c>
      <c r="AA243" s="12">
        <f>Table1[[#This Row],[Total Exp.]]/Table1[[#This Row],[Total k.m]]</f>
        <v>34.831220813875916</v>
      </c>
      <c r="AB243" s="12">
        <f>Table1[[#This Row],[Profit/loss]]/Table1[[#This Row],[Total k.m]]</f>
        <v>26.921947965310206</v>
      </c>
      <c r="AC243" s="12">
        <f>Table1[[#This Row],[INVOICE AMOUNT2]]/Table1[[#This Row],[Total k.m]]</f>
        <v>61.753168779186126</v>
      </c>
    </row>
    <row r="244" spans="1:29" x14ac:dyDescent="0.3">
      <c r="A244" s="13">
        <v>242</v>
      </c>
      <c r="B244" s="25" t="s">
        <v>487</v>
      </c>
      <c r="C244" s="13" t="s">
        <v>63</v>
      </c>
      <c r="D244" s="10">
        <v>45986</v>
      </c>
      <c r="E244" s="11" t="s">
        <v>486</v>
      </c>
      <c r="F244" s="13" t="s">
        <v>35</v>
      </c>
      <c r="G244" s="13" t="s">
        <v>36</v>
      </c>
      <c r="H244" s="13" t="s">
        <v>364</v>
      </c>
      <c r="I244" s="14">
        <v>8</v>
      </c>
      <c r="J244" s="14">
        <v>185956</v>
      </c>
      <c r="K244" s="21">
        <v>87893</v>
      </c>
      <c r="L244" s="13"/>
      <c r="M244" s="13">
        <v>6000</v>
      </c>
      <c r="N244" s="13"/>
      <c r="O244" s="13"/>
      <c r="P244" s="13">
        <v>2000</v>
      </c>
      <c r="Q244" s="13">
        <v>1000</v>
      </c>
      <c r="R244" s="13"/>
      <c r="S244" s="13">
        <v>700</v>
      </c>
      <c r="T244" s="13">
        <v>2000</v>
      </c>
      <c r="U244" s="13">
        <v>2640</v>
      </c>
      <c r="V244" s="13">
        <f t="shared" si="3"/>
        <v>102233</v>
      </c>
      <c r="W244" s="13">
        <v>1851</v>
      </c>
      <c r="X244" s="13">
        <v>1375</v>
      </c>
      <c r="Y244" s="13">
        <f>Table1[[#This Row],[LOAD K.M]]+Table1[[#This Row],[EMPTY K.M]]</f>
        <v>3226</v>
      </c>
      <c r="Z244" s="13">
        <f>Table1[[#This Row],[INVOICE AMOUNT2]]-Table1[[#This Row],[Total Exp.]]</f>
        <v>83723</v>
      </c>
      <c r="AA244" s="13">
        <f>Table1[[#This Row],[Total Exp.]]/Table1[[#This Row],[Total k.m]]</f>
        <v>31.690328580285183</v>
      </c>
      <c r="AB244" s="13">
        <f>Table1[[#This Row],[Profit/loss]]/Table1[[#This Row],[Total k.m]]</f>
        <v>25.952572845629263</v>
      </c>
      <c r="AC244" s="12">
        <f>Table1[[#This Row],[INVOICE AMOUNT2]]/Table1[[#This Row],[Total k.m]]</f>
        <v>57.642901425914445</v>
      </c>
    </row>
    <row r="245" spans="1:29" x14ac:dyDescent="0.3">
      <c r="A245" s="13">
        <v>243</v>
      </c>
      <c r="B245" s="25" t="s">
        <v>488</v>
      </c>
      <c r="C245" s="12" t="s">
        <v>39</v>
      </c>
      <c r="D245" s="10">
        <v>45986</v>
      </c>
      <c r="E245" s="24" t="s">
        <v>486</v>
      </c>
      <c r="F245" s="12" t="s">
        <v>35</v>
      </c>
      <c r="G245" s="12" t="s">
        <v>36</v>
      </c>
      <c r="H245" s="12" t="s">
        <v>66</v>
      </c>
      <c r="I245" s="14">
        <v>8</v>
      </c>
      <c r="J245" s="15">
        <v>97343</v>
      </c>
      <c r="K245" s="21">
        <v>38048</v>
      </c>
      <c r="L245" s="12"/>
      <c r="M245" s="12">
        <v>5500</v>
      </c>
      <c r="N245" s="12"/>
      <c r="O245" s="12"/>
      <c r="P245" s="12">
        <v>2000</v>
      </c>
      <c r="Q245" s="12">
        <v>1500</v>
      </c>
      <c r="R245" s="12"/>
      <c r="S245" s="12">
        <v>500</v>
      </c>
      <c r="T245" s="12">
        <v>2100</v>
      </c>
      <c r="U245" s="12">
        <v>1320</v>
      </c>
      <c r="V245" s="12">
        <f t="shared" si="3"/>
        <v>50968</v>
      </c>
      <c r="W245" s="12">
        <v>1348</v>
      </c>
      <c r="X245" s="12">
        <v>38</v>
      </c>
      <c r="Y245" s="12">
        <f>Table1[[#This Row],[LOAD K.M]]+Table1[[#This Row],[EMPTY K.M]]</f>
        <v>1386</v>
      </c>
      <c r="Z245" s="12">
        <f>Table1[[#This Row],[INVOICE AMOUNT2]]-Table1[[#This Row],[Total Exp.]]</f>
        <v>46375</v>
      </c>
      <c r="AA245" s="12">
        <f>Table1[[#This Row],[Total Exp.]]/Table1[[#This Row],[Total k.m]]</f>
        <v>36.77344877344877</v>
      </c>
      <c r="AB245" s="12">
        <f>Table1[[#This Row],[Profit/loss]]/Table1[[#This Row],[Total k.m]]</f>
        <v>33.459595959595958</v>
      </c>
      <c r="AC245" s="12">
        <f>Table1[[#This Row],[INVOICE AMOUNT2]]/Table1[[#This Row],[Total k.m]]</f>
        <v>70.233044733044736</v>
      </c>
    </row>
    <row r="246" spans="1:29" x14ac:dyDescent="0.3">
      <c r="A246" s="13">
        <v>244</v>
      </c>
      <c r="B246" s="25" t="s">
        <v>489</v>
      </c>
      <c r="C246" s="12" t="s">
        <v>75</v>
      </c>
      <c r="D246" s="10">
        <v>45986</v>
      </c>
      <c r="E246" s="24" t="s">
        <v>478</v>
      </c>
      <c r="F246" s="12" t="s">
        <v>65</v>
      </c>
      <c r="G246" s="12" t="s">
        <v>66</v>
      </c>
      <c r="H246" s="12" t="s">
        <v>410</v>
      </c>
      <c r="I246" s="14"/>
      <c r="J246" s="15">
        <v>138454</v>
      </c>
      <c r="K246" s="21">
        <v>55318</v>
      </c>
      <c r="L246" s="12"/>
      <c r="M246" s="12">
        <v>6000</v>
      </c>
      <c r="N246" s="12"/>
      <c r="O246" s="12"/>
      <c r="P246" s="12">
        <v>2000</v>
      </c>
      <c r="Q246" s="12">
        <v>1000</v>
      </c>
      <c r="R246" s="12"/>
      <c r="S246" s="12">
        <v>150</v>
      </c>
      <c r="T246" s="12"/>
      <c r="U246" s="12">
        <v>2020</v>
      </c>
      <c r="V246" s="12">
        <f t="shared" si="3"/>
        <v>66488</v>
      </c>
      <c r="W246" s="12">
        <v>1851</v>
      </c>
      <c r="X246" s="12">
        <v>157</v>
      </c>
      <c r="Y246" s="12">
        <f>Table1[[#This Row],[LOAD K.M]]+Table1[[#This Row],[EMPTY K.M]]</f>
        <v>2008</v>
      </c>
      <c r="Z246" s="12">
        <f>Table1[[#This Row],[INVOICE AMOUNT2]]-Table1[[#This Row],[Total Exp.]]</f>
        <v>71966</v>
      </c>
      <c r="AA246" s="12">
        <f>Table1[[#This Row],[Total Exp.]]/Table1[[#This Row],[Total k.m]]</f>
        <v>33.111553784860561</v>
      </c>
      <c r="AB246" s="12">
        <f>Table1[[#This Row],[Profit/loss]]/Table1[[#This Row],[Total k.m]]</f>
        <v>35.839641434262951</v>
      </c>
      <c r="AC246" s="12">
        <f>Table1[[#This Row],[INVOICE AMOUNT2]]/Table1[[#This Row],[Total k.m]]</f>
        <v>68.951195219123505</v>
      </c>
    </row>
    <row r="247" spans="1:29" x14ac:dyDescent="0.3">
      <c r="A247" s="13">
        <v>245</v>
      </c>
      <c r="B247" s="25" t="s">
        <v>490</v>
      </c>
      <c r="C247" s="12" t="s">
        <v>84</v>
      </c>
      <c r="D247" s="10">
        <v>45986</v>
      </c>
      <c r="E247" s="24" t="s">
        <v>486</v>
      </c>
      <c r="F247" s="12" t="s">
        <v>65</v>
      </c>
      <c r="G247" s="12" t="s">
        <v>66</v>
      </c>
      <c r="H247" s="12" t="s">
        <v>96</v>
      </c>
      <c r="I247" s="14"/>
      <c r="J247" s="15">
        <v>143968</v>
      </c>
      <c r="K247" s="21">
        <v>57091</v>
      </c>
      <c r="L247" s="12"/>
      <c r="M247" s="12">
        <v>6000</v>
      </c>
      <c r="N247" s="12"/>
      <c r="O247" s="12">
        <v>1750</v>
      </c>
      <c r="P247" s="12">
        <v>2000</v>
      </c>
      <c r="Q247" s="12">
        <v>1000</v>
      </c>
      <c r="R247" s="12"/>
      <c r="S247" s="12">
        <v>150</v>
      </c>
      <c r="T247" s="12"/>
      <c r="U247" s="12">
        <v>1320</v>
      </c>
      <c r="V247" s="12">
        <f t="shared" si="3"/>
        <v>69311</v>
      </c>
      <c r="W247" s="12">
        <v>1712</v>
      </c>
      <c r="X247" s="12">
        <v>367</v>
      </c>
      <c r="Y247" s="12">
        <f>Table1[[#This Row],[LOAD K.M]]+Table1[[#This Row],[EMPTY K.M]]</f>
        <v>2079</v>
      </c>
      <c r="Z247" s="12">
        <f>Table1[[#This Row],[INVOICE AMOUNT2]]-Table1[[#This Row],[Total Exp.]]</f>
        <v>74657</v>
      </c>
      <c r="AA247" s="12">
        <f>Table1[[#This Row],[Total Exp.]]/Table1[[#This Row],[Total k.m]]</f>
        <v>33.338624338624342</v>
      </c>
      <c r="AB247" s="12">
        <f>Table1[[#This Row],[Profit/loss]]/Table1[[#This Row],[Total k.m]]</f>
        <v>35.910052910052912</v>
      </c>
      <c r="AC247" s="12">
        <f>Table1[[#This Row],[INVOICE AMOUNT2]]/Table1[[#This Row],[Total k.m]]</f>
        <v>69.248677248677254</v>
      </c>
    </row>
    <row r="248" spans="1:29" x14ac:dyDescent="0.3">
      <c r="A248" s="13">
        <v>246</v>
      </c>
      <c r="B248" s="58" t="s">
        <v>491</v>
      </c>
      <c r="C248" s="31" t="s">
        <v>75</v>
      </c>
      <c r="D248" s="10">
        <v>45986</v>
      </c>
      <c r="E248" s="59" t="s">
        <v>492</v>
      </c>
      <c r="F248" s="31" t="s">
        <v>65</v>
      </c>
      <c r="G248" s="31" t="s">
        <v>66</v>
      </c>
      <c r="H248" s="31" t="s">
        <v>36</v>
      </c>
      <c r="I248" s="14"/>
      <c r="J248" s="15">
        <v>98564</v>
      </c>
      <c r="K248" s="21">
        <v>34734</v>
      </c>
      <c r="L248" s="12">
        <v>9838</v>
      </c>
      <c r="M248" s="12">
        <v>4500</v>
      </c>
      <c r="N248" s="12"/>
      <c r="O248" s="12"/>
      <c r="P248" s="12">
        <v>2000</v>
      </c>
      <c r="Q248" s="12">
        <v>1000</v>
      </c>
      <c r="R248" s="12"/>
      <c r="S248" s="12">
        <v>150</v>
      </c>
      <c r="T248" s="12"/>
      <c r="U248" s="12">
        <v>1320</v>
      </c>
      <c r="V248" s="12">
        <f t="shared" si="3"/>
        <v>53542</v>
      </c>
      <c r="W248" s="12">
        <v>1166</v>
      </c>
      <c r="X248" s="12">
        <v>82</v>
      </c>
      <c r="Y248" s="12">
        <f>Table1[[#This Row],[LOAD K.M]]+Table1[[#This Row],[EMPTY K.M]]</f>
        <v>1248</v>
      </c>
      <c r="Z248" s="12">
        <f>Table1[[#This Row],[INVOICE AMOUNT2]]-Table1[[#This Row],[Total Exp.]]</f>
        <v>45022</v>
      </c>
      <c r="AA248" s="12">
        <f>Table1[[#This Row],[Total Exp.]]/Table1[[#This Row],[Total k.m]]</f>
        <v>42.902243589743591</v>
      </c>
      <c r="AB248" s="12">
        <f>Table1[[#This Row],[Profit/loss]]/Table1[[#This Row],[Total k.m]]</f>
        <v>36.075320512820511</v>
      </c>
      <c r="AC248" s="12">
        <f>Table1[[#This Row],[INVOICE AMOUNT2]]/Table1[[#This Row],[Total k.m]]</f>
        <v>78.977564102564102</v>
      </c>
    </row>
    <row r="249" spans="1:29" x14ac:dyDescent="0.3">
      <c r="A249" s="13">
        <v>247</v>
      </c>
      <c r="B249" s="58" t="s">
        <v>493</v>
      </c>
      <c r="C249" s="31" t="s">
        <v>95</v>
      </c>
      <c r="D249" s="10">
        <v>45986</v>
      </c>
      <c r="E249" s="59" t="s">
        <v>494</v>
      </c>
      <c r="F249" s="31" t="s">
        <v>42</v>
      </c>
      <c r="G249" s="31" t="s">
        <v>43</v>
      </c>
      <c r="H249" s="31" t="s">
        <v>85</v>
      </c>
      <c r="I249" s="14"/>
      <c r="J249" s="15">
        <v>87892</v>
      </c>
      <c r="K249" s="21">
        <v>49435</v>
      </c>
      <c r="L249" s="12">
        <v>14284</v>
      </c>
      <c r="M249" s="12">
        <v>5500</v>
      </c>
      <c r="N249" s="12"/>
      <c r="O249" s="12"/>
      <c r="P249" s="12">
        <v>2000</v>
      </c>
      <c r="Q249" s="12">
        <v>1500</v>
      </c>
      <c r="R249" s="12"/>
      <c r="S249" s="12"/>
      <c r="T249" s="12"/>
      <c r="U249" s="12">
        <v>2640</v>
      </c>
      <c r="V249" s="12">
        <f t="shared" si="3"/>
        <v>75359</v>
      </c>
      <c r="W249" s="12">
        <v>1205</v>
      </c>
      <c r="X249" s="12">
        <v>638</v>
      </c>
      <c r="Y249" s="12">
        <f>Table1[[#This Row],[LOAD K.M]]+Table1[[#This Row],[EMPTY K.M]]</f>
        <v>1843</v>
      </c>
      <c r="Z249" s="12">
        <f>Table1[[#This Row],[INVOICE AMOUNT2]]-Table1[[#This Row],[Total Exp.]]</f>
        <v>12533</v>
      </c>
      <c r="AA249" s="12">
        <f>Table1[[#This Row],[Total Exp.]]/Table1[[#This Row],[Total k.m]]</f>
        <v>40.889310906131307</v>
      </c>
      <c r="AB249" s="12">
        <f>Table1[[#This Row],[Profit/loss]]/Table1[[#This Row],[Total k.m]]</f>
        <v>6.8003255561584375</v>
      </c>
      <c r="AC249" s="12">
        <f>Table1[[#This Row],[INVOICE AMOUNT2]]/Table1[[#This Row],[Total k.m]]</f>
        <v>47.689636462289748</v>
      </c>
    </row>
    <row r="250" spans="1:29" x14ac:dyDescent="0.3">
      <c r="A250" s="13">
        <v>248</v>
      </c>
      <c r="B250" s="58" t="s">
        <v>495</v>
      </c>
      <c r="C250" s="31" t="s">
        <v>46</v>
      </c>
      <c r="D250" s="10">
        <v>45986</v>
      </c>
      <c r="E250" s="59" t="s">
        <v>492</v>
      </c>
      <c r="F250" s="31" t="s">
        <v>65</v>
      </c>
      <c r="G250" s="31" t="s">
        <v>66</v>
      </c>
      <c r="H250" s="31" t="s">
        <v>496</v>
      </c>
      <c r="I250" s="14">
        <v>6</v>
      </c>
      <c r="J250" s="15">
        <v>89052</v>
      </c>
      <c r="K250" s="21">
        <v>33568</v>
      </c>
      <c r="L250" s="12"/>
      <c r="M250" s="12">
        <v>4500</v>
      </c>
      <c r="N250" s="12"/>
      <c r="O250" s="12"/>
      <c r="P250" s="12">
        <v>2000</v>
      </c>
      <c r="Q250" s="12">
        <v>1000</v>
      </c>
      <c r="R250" s="12"/>
      <c r="S250" s="12">
        <v>150</v>
      </c>
      <c r="T250" s="12"/>
      <c r="U250" s="12">
        <v>1320</v>
      </c>
      <c r="V250" s="12">
        <f t="shared" si="3"/>
        <v>42538</v>
      </c>
      <c r="W250" s="12">
        <v>1064</v>
      </c>
      <c r="X250" s="12">
        <v>154</v>
      </c>
      <c r="Y250" s="12">
        <f>Table1[[#This Row],[LOAD K.M]]+Table1[[#This Row],[EMPTY K.M]]</f>
        <v>1218</v>
      </c>
      <c r="Z250" s="12">
        <f>Table1[[#This Row],[INVOICE AMOUNT2]]-Table1[[#This Row],[Total Exp.]]</f>
        <v>46514</v>
      </c>
      <c r="AA250" s="12">
        <f>Table1[[#This Row],[Total Exp.]]/Table1[[#This Row],[Total k.m]]</f>
        <v>34.924466338259442</v>
      </c>
      <c r="AB250" s="12">
        <f>Table1[[#This Row],[Profit/loss]]/Table1[[#This Row],[Total k.m]]</f>
        <v>38.188834154351397</v>
      </c>
      <c r="AC250" s="12">
        <f>Table1[[#This Row],[INVOICE AMOUNT2]]/Table1[[#This Row],[Total k.m]]</f>
        <v>73.113300492610833</v>
      </c>
    </row>
    <row r="251" spans="1:29" x14ac:dyDescent="0.3">
      <c r="A251" s="13">
        <v>249</v>
      </c>
      <c r="B251" s="25" t="s">
        <v>497</v>
      </c>
      <c r="C251" s="12" t="s">
        <v>69</v>
      </c>
      <c r="D251" s="10">
        <v>45986</v>
      </c>
      <c r="E251" s="24" t="s">
        <v>498</v>
      </c>
      <c r="F251" s="12" t="s">
        <v>65</v>
      </c>
      <c r="G251" s="12" t="s">
        <v>66</v>
      </c>
      <c r="H251" s="12" t="s">
        <v>499</v>
      </c>
      <c r="I251" s="14">
        <v>8</v>
      </c>
      <c r="J251" s="15">
        <v>92580</v>
      </c>
      <c r="K251" s="27">
        <v>67794</v>
      </c>
      <c r="L251" s="12"/>
      <c r="M251" s="12">
        <v>9700</v>
      </c>
      <c r="N251" s="12"/>
      <c r="O251" s="12">
        <v>250</v>
      </c>
      <c r="P251" s="12">
        <v>2000</v>
      </c>
      <c r="Q251" s="12">
        <v>1000</v>
      </c>
      <c r="R251" s="12"/>
      <c r="S251" s="12">
        <v>150</v>
      </c>
      <c r="T251" s="12">
        <v>218</v>
      </c>
      <c r="U251" s="12"/>
      <c r="V251" s="12">
        <f t="shared" si="3"/>
        <v>81112</v>
      </c>
      <c r="W251" s="12">
        <v>1831</v>
      </c>
      <c r="X251" s="12">
        <v>661</v>
      </c>
      <c r="Y251" s="12">
        <f>Table1[[#This Row],[LOAD K.M]]+Table1[[#This Row],[EMPTY K.M]]</f>
        <v>2492</v>
      </c>
      <c r="Z251" s="12">
        <f>Table1[[#This Row],[INVOICE AMOUNT2]]-Table1[[#This Row],[Total Exp.]]</f>
        <v>11468</v>
      </c>
      <c r="AA251" s="12">
        <f>Table1[[#This Row],[Total Exp.]]/Table1[[#This Row],[Total k.m]]</f>
        <v>32.548956661316211</v>
      </c>
      <c r="AB251" s="12">
        <f>Table1[[#This Row],[Profit/loss]]/Table1[[#This Row],[Total k.m]]</f>
        <v>4.6019261637239168</v>
      </c>
      <c r="AC251" s="12">
        <f>Table1[[#This Row],[INVOICE AMOUNT2]]/Table1[[#This Row],[Total k.m]]</f>
        <v>37.150882825040128</v>
      </c>
    </row>
    <row r="252" spans="1:29" x14ac:dyDescent="0.3">
      <c r="A252" s="13">
        <v>250</v>
      </c>
      <c r="B252" s="60" t="s">
        <v>500</v>
      </c>
      <c r="C252" s="12" t="s">
        <v>93</v>
      </c>
      <c r="D252" s="10">
        <v>45986</v>
      </c>
      <c r="E252" s="24" t="s">
        <v>501</v>
      </c>
      <c r="F252" s="12" t="s">
        <v>35</v>
      </c>
      <c r="G252" s="12" t="s">
        <v>99</v>
      </c>
      <c r="H252" s="12" t="s">
        <v>326</v>
      </c>
      <c r="I252" s="12"/>
      <c r="J252" s="15">
        <v>78540</v>
      </c>
      <c r="K252" s="21">
        <v>33919</v>
      </c>
      <c r="L252" s="12"/>
      <c r="M252" s="12">
        <v>5000</v>
      </c>
      <c r="N252" s="12"/>
      <c r="O252" s="12"/>
      <c r="P252" s="12">
        <v>2000</v>
      </c>
      <c r="Q252" s="12">
        <v>1000</v>
      </c>
      <c r="R252" s="12"/>
      <c r="S252" s="12"/>
      <c r="T252" s="12"/>
      <c r="U252" s="12">
        <v>2289</v>
      </c>
      <c r="V252" s="12">
        <f t="shared" si="3"/>
        <v>44208</v>
      </c>
      <c r="W252" s="12">
        <v>826</v>
      </c>
      <c r="X252" s="12">
        <v>484</v>
      </c>
      <c r="Y252" s="12">
        <f>Table1[[#This Row],[LOAD K.M]]+Table1[[#This Row],[EMPTY K.M]]</f>
        <v>1310</v>
      </c>
      <c r="Z252" s="12">
        <f>Table1[[#This Row],[INVOICE AMOUNT2]]-Table1[[#This Row],[Total Exp.]]</f>
        <v>34332</v>
      </c>
      <c r="AA252" s="12">
        <f>Table1[[#This Row],[Total Exp.]]/Table1[[#This Row],[Total k.m]]</f>
        <v>33.746564885496184</v>
      </c>
      <c r="AB252" s="12">
        <f>Table1[[#This Row],[Profit/loss]]/Table1[[#This Row],[Total k.m]]</f>
        <v>26.207633587786258</v>
      </c>
      <c r="AC252" s="12">
        <f>Table1[[#This Row],[INVOICE AMOUNT2]]/Table1[[#This Row],[Total k.m]]</f>
        <v>59.954198473282446</v>
      </c>
    </row>
    <row r="253" spans="1:29" x14ac:dyDescent="0.3">
      <c r="A253" s="13">
        <v>251</v>
      </c>
      <c r="B253" s="25" t="s">
        <v>502</v>
      </c>
      <c r="C253" s="12" t="s">
        <v>105</v>
      </c>
      <c r="D253" s="10">
        <v>45986</v>
      </c>
      <c r="E253" s="24" t="s">
        <v>501</v>
      </c>
      <c r="F253" s="12" t="s">
        <v>35</v>
      </c>
      <c r="G253" s="12" t="s">
        <v>36</v>
      </c>
      <c r="H253" s="12" t="s">
        <v>479</v>
      </c>
      <c r="I253" s="12"/>
      <c r="J253" s="15">
        <v>102054</v>
      </c>
      <c r="K253" s="21">
        <v>37735</v>
      </c>
      <c r="L253" s="12"/>
      <c r="M253" s="12">
        <v>4500</v>
      </c>
      <c r="N253" s="12"/>
      <c r="O253" s="12">
        <v>450</v>
      </c>
      <c r="P253" s="12">
        <v>2000</v>
      </c>
      <c r="Q253" s="12">
        <v>1000</v>
      </c>
      <c r="R253" s="12"/>
      <c r="S253" s="12">
        <v>600</v>
      </c>
      <c r="T253" s="12" t="s">
        <v>158</v>
      </c>
      <c r="U253" s="12">
        <v>2600</v>
      </c>
      <c r="V253" s="12">
        <f t="shared" si="3"/>
        <v>48885</v>
      </c>
      <c r="W253" s="12">
        <v>970</v>
      </c>
      <c r="X253" s="12">
        <v>435</v>
      </c>
      <c r="Y253" s="12">
        <f>Table1[[#This Row],[LOAD K.M]]+Table1[[#This Row],[EMPTY K.M]]</f>
        <v>1405</v>
      </c>
      <c r="Z253" s="12">
        <f>Table1[[#This Row],[INVOICE AMOUNT2]]-Table1[[#This Row],[Total Exp.]]</f>
        <v>53169</v>
      </c>
      <c r="AA253" s="12">
        <f>Table1[[#This Row],[Total Exp.]]/Table1[[#This Row],[Total k.m]]</f>
        <v>34.793594306049819</v>
      </c>
      <c r="AB253" s="12">
        <f>Table1[[#This Row],[Profit/loss]]/Table1[[#This Row],[Total k.m]]</f>
        <v>37.842704626334516</v>
      </c>
      <c r="AC253" s="12">
        <f>Table1[[#This Row],[INVOICE AMOUNT2]]/Table1[[#This Row],[Total k.m]]</f>
        <v>72.636298932384335</v>
      </c>
    </row>
    <row r="254" spans="1:29" x14ac:dyDescent="0.3">
      <c r="A254" s="13">
        <v>252</v>
      </c>
      <c r="B254" s="25" t="s">
        <v>503</v>
      </c>
      <c r="C254" s="13" t="s">
        <v>109</v>
      </c>
      <c r="D254" s="10">
        <v>45986</v>
      </c>
      <c r="E254" s="11" t="s">
        <v>501</v>
      </c>
      <c r="F254" s="13" t="s">
        <v>178</v>
      </c>
      <c r="G254" s="13" t="s">
        <v>36</v>
      </c>
      <c r="H254" s="13" t="s">
        <v>99</v>
      </c>
      <c r="I254" s="13">
        <v>6</v>
      </c>
      <c r="J254" s="13">
        <v>128020</v>
      </c>
      <c r="K254" s="21">
        <v>44063</v>
      </c>
      <c r="L254" s="13"/>
      <c r="M254" s="13">
        <v>3200</v>
      </c>
      <c r="N254" s="13"/>
      <c r="O254" s="13"/>
      <c r="P254" s="13">
        <v>2000</v>
      </c>
      <c r="Q254" s="13">
        <v>1000</v>
      </c>
      <c r="R254" s="13"/>
      <c r="S254" s="13">
        <v>200</v>
      </c>
      <c r="T254" s="13"/>
      <c r="U254" s="13">
        <v>2479</v>
      </c>
      <c r="V254" s="13">
        <f t="shared" si="3"/>
        <v>52942</v>
      </c>
      <c r="W254" s="13">
        <v>1605</v>
      </c>
      <c r="X254" s="13"/>
      <c r="Y254" s="13">
        <f>Table1[[#This Row],[LOAD K.M]]+Table1[[#This Row],[EMPTY K.M]]</f>
        <v>1605</v>
      </c>
      <c r="Z254" s="13">
        <f>Table1[[#This Row],[INVOICE AMOUNT2]]-Table1[[#This Row],[Total Exp.]]</f>
        <v>75078</v>
      </c>
      <c r="AA254" s="13">
        <f>Table1[[#This Row],[Total Exp.]]/Table1[[#This Row],[Total k.m]]</f>
        <v>32.985669781931463</v>
      </c>
      <c r="AB254" s="13">
        <f>Table1[[#This Row],[Profit/loss]]/Table1[[#This Row],[Total k.m]]</f>
        <v>46.777570093457946</v>
      </c>
      <c r="AC254" s="12">
        <f>Table1[[#This Row],[INVOICE AMOUNT2]]/Table1[[#This Row],[Total k.m]]</f>
        <v>79.763239875389402</v>
      </c>
    </row>
    <row r="255" spans="1:29" x14ac:dyDescent="0.3">
      <c r="A255" s="13">
        <v>253</v>
      </c>
      <c r="B255" s="25" t="s">
        <v>504</v>
      </c>
      <c r="C255" s="12" t="s">
        <v>29</v>
      </c>
      <c r="D255" s="10">
        <v>45986</v>
      </c>
      <c r="E255" s="24" t="s">
        <v>501</v>
      </c>
      <c r="F255" s="12" t="s">
        <v>35</v>
      </c>
      <c r="G255" s="12" t="s">
        <v>36</v>
      </c>
      <c r="H255" s="12" t="s">
        <v>766</v>
      </c>
      <c r="I255" s="12">
        <v>6</v>
      </c>
      <c r="J255" s="12">
        <v>124685</v>
      </c>
      <c r="K255" s="21">
        <v>48710</v>
      </c>
      <c r="L255" s="12"/>
      <c r="M255" s="12">
        <v>4500</v>
      </c>
      <c r="N255" s="12"/>
      <c r="O255" s="12"/>
      <c r="P255" s="12">
        <v>2000</v>
      </c>
      <c r="Q255" s="12">
        <v>1000</v>
      </c>
      <c r="R255" s="12"/>
      <c r="S255" s="12">
        <v>600</v>
      </c>
      <c r="T255" s="12">
        <v>218</v>
      </c>
      <c r="U255" s="12">
        <v>2640</v>
      </c>
      <c r="V255" s="12">
        <f t="shared" si="3"/>
        <v>59668</v>
      </c>
      <c r="W255" s="12">
        <v>1738</v>
      </c>
      <c r="X255" s="12">
        <v>48</v>
      </c>
      <c r="Y255" s="12">
        <f>Table1[[#This Row],[LOAD K.M]]+Table1[[#This Row],[EMPTY K.M]]</f>
        <v>1786</v>
      </c>
      <c r="Z255" s="12">
        <f>Table1[[#This Row],[INVOICE AMOUNT2]]-Table1[[#This Row],[Total Exp.]]</f>
        <v>65017</v>
      </c>
      <c r="AA255" s="12">
        <f>Table1[[#This Row],[Total Exp.]]/Table1[[#This Row],[Total k.m]]</f>
        <v>33.408734602463603</v>
      </c>
      <c r="AB255" s="12">
        <f>Table1[[#This Row],[Profit/loss]]/Table1[[#This Row],[Total k.m]]</f>
        <v>36.403695408734599</v>
      </c>
      <c r="AC255" s="12">
        <f>Table1[[#This Row],[INVOICE AMOUNT2]]/Table1[[#This Row],[Total k.m]]</f>
        <v>69.812430011198202</v>
      </c>
    </row>
    <row r="256" spans="1:29" x14ac:dyDescent="0.3">
      <c r="A256" s="13">
        <v>254</v>
      </c>
      <c r="B256" s="25" t="s">
        <v>505</v>
      </c>
      <c r="C256" s="12" t="s">
        <v>59</v>
      </c>
      <c r="D256" s="10">
        <v>45986</v>
      </c>
      <c r="E256" s="24" t="s">
        <v>506</v>
      </c>
      <c r="F256" s="12" t="s">
        <v>65</v>
      </c>
      <c r="G256" s="12" t="s">
        <v>66</v>
      </c>
      <c r="H256" s="12" t="s">
        <v>115</v>
      </c>
      <c r="I256" s="12">
        <v>8</v>
      </c>
      <c r="J256" s="12">
        <v>11542</v>
      </c>
      <c r="K256" s="12">
        <v>7500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>
        <f t="shared" si="3"/>
        <v>7500</v>
      </c>
      <c r="W256" s="12">
        <v>85</v>
      </c>
      <c r="X256" s="12">
        <v>85</v>
      </c>
      <c r="Y256" s="12">
        <f>Table1[[#This Row],[LOAD K.M]]+Table1[[#This Row],[EMPTY K.M]]</f>
        <v>170</v>
      </c>
      <c r="Z256" s="12">
        <f>Table1[[#This Row],[INVOICE AMOUNT2]]-Table1[[#This Row],[Total Exp.]]</f>
        <v>4042</v>
      </c>
      <c r="AA256" s="12">
        <f>Table1[[#This Row],[Total Exp.]]/Table1[[#This Row],[Total k.m]]</f>
        <v>44.117647058823529</v>
      </c>
      <c r="AB256" s="12">
        <f>Table1[[#This Row],[Profit/loss]]/Table1[[#This Row],[Total k.m]]</f>
        <v>23.776470588235295</v>
      </c>
      <c r="AC256" s="12">
        <f>Table1[[#This Row],[INVOICE AMOUNT2]]/Table1[[#This Row],[Total k.m]]</f>
        <v>67.89411764705882</v>
      </c>
    </row>
    <row r="257" spans="1:29" x14ac:dyDescent="0.3">
      <c r="A257" s="13">
        <v>255</v>
      </c>
      <c r="B257" s="25" t="s">
        <v>507</v>
      </c>
      <c r="C257" s="12" t="s">
        <v>59</v>
      </c>
      <c r="D257" s="10">
        <v>45986</v>
      </c>
      <c r="E257" s="24" t="s">
        <v>508</v>
      </c>
      <c r="F257" s="12" t="s">
        <v>65</v>
      </c>
      <c r="G257" s="12" t="s">
        <v>66</v>
      </c>
      <c r="H257" s="12" t="s">
        <v>115</v>
      </c>
      <c r="I257" s="12">
        <v>8</v>
      </c>
      <c r="J257" s="12">
        <v>11542</v>
      </c>
      <c r="K257" s="12">
        <v>7500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>
        <f t="shared" si="3"/>
        <v>7500</v>
      </c>
      <c r="W257" s="12">
        <v>85</v>
      </c>
      <c r="X257" s="12">
        <v>85</v>
      </c>
      <c r="Y257" s="12">
        <f>Table1[[#This Row],[LOAD K.M]]+Table1[[#This Row],[EMPTY K.M]]</f>
        <v>170</v>
      </c>
      <c r="Z257" s="12">
        <f>Table1[[#This Row],[INVOICE AMOUNT2]]-Table1[[#This Row],[Total Exp.]]</f>
        <v>4042</v>
      </c>
      <c r="AA257" s="12">
        <f>Table1[[#This Row],[Total Exp.]]/Table1[[#This Row],[Total k.m]]</f>
        <v>44.117647058823529</v>
      </c>
      <c r="AB257" s="12">
        <f>Table1[[#This Row],[Profit/loss]]/Table1[[#This Row],[Total k.m]]</f>
        <v>23.776470588235295</v>
      </c>
      <c r="AC257" s="12">
        <f>Table1[[#This Row],[INVOICE AMOUNT2]]/Table1[[#This Row],[Total k.m]]</f>
        <v>67.89411764705882</v>
      </c>
    </row>
    <row r="258" spans="1:29" x14ac:dyDescent="0.3">
      <c r="A258" s="13">
        <v>256</v>
      </c>
      <c r="B258" s="25" t="s">
        <v>509</v>
      </c>
      <c r="C258" s="12" t="s">
        <v>95</v>
      </c>
      <c r="D258" s="10">
        <v>45986</v>
      </c>
      <c r="E258" s="24" t="s">
        <v>508</v>
      </c>
      <c r="F258" s="12" t="s">
        <v>65</v>
      </c>
      <c r="G258" s="12" t="s">
        <v>66</v>
      </c>
      <c r="H258" s="12" t="s">
        <v>510</v>
      </c>
      <c r="I258" s="12">
        <v>8</v>
      </c>
      <c r="J258" s="12">
        <v>148682</v>
      </c>
      <c r="K258" s="21">
        <v>65175</v>
      </c>
      <c r="L258" s="12"/>
      <c r="M258" s="12">
        <v>6000</v>
      </c>
      <c r="N258" s="12"/>
      <c r="O258" s="12"/>
      <c r="P258" s="12">
        <v>2000</v>
      </c>
      <c r="Q258" s="12">
        <v>1000</v>
      </c>
      <c r="R258" s="12"/>
      <c r="S258" s="12">
        <v>1050</v>
      </c>
      <c r="T258" s="12"/>
      <c r="U258" s="12"/>
      <c r="V258" s="12">
        <f t="shared" si="3"/>
        <v>75225</v>
      </c>
      <c r="W258" s="12">
        <v>2196</v>
      </c>
      <c r="X258" s="12">
        <v>167</v>
      </c>
      <c r="Y258" s="12">
        <f>Table1[[#This Row],[LOAD K.M]]+Table1[[#This Row],[EMPTY K.M]]</f>
        <v>2363</v>
      </c>
      <c r="Z258" s="12">
        <f>Table1[[#This Row],[INVOICE AMOUNT2]]-Table1[[#This Row],[Total Exp.]]</f>
        <v>73457</v>
      </c>
      <c r="AA258" s="12">
        <f>Table1[[#This Row],[Total Exp.]]/Table1[[#This Row],[Total k.m]]</f>
        <v>31.834532374100718</v>
      </c>
      <c r="AB258" s="12">
        <f>Table1[[#This Row],[Profit/loss]]/Table1[[#This Row],[Total k.m]]</f>
        <v>31.086330935251798</v>
      </c>
      <c r="AC258" s="12">
        <f>Table1[[#This Row],[INVOICE AMOUNT2]]/Table1[[#This Row],[Total k.m]]</f>
        <v>62.920863309352519</v>
      </c>
    </row>
    <row r="259" spans="1:29" x14ac:dyDescent="0.3">
      <c r="A259" s="13">
        <v>257</v>
      </c>
      <c r="B259" s="25" t="s">
        <v>511</v>
      </c>
      <c r="C259" s="12" t="s">
        <v>102</v>
      </c>
      <c r="D259" s="10">
        <v>45986</v>
      </c>
      <c r="E259" s="24" t="s">
        <v>508</v>
      </c>
      <c r="F259" s="12" t="s">
        <v>65</v>
      </c>
      <c r="G259" s="12" t="s">
        <v>66</v>
      </c>
      <c r="H259" s="12" t="s">
        <v>36</v>
      </c>
      <c r="I259" s="12">
        <v>8</v>
      </c>
      <c r="J259" s="12">
        <v>92586</v>
      </c>
      <c r="K259" s="21">
        <v>37683</v>
      </c>
      <c r="L259" s="12"/>
      <c r="M259" s="12">
        <v>4500</v>
      </c>
      <c r="N259" s="12"/>
      <c r="O259" s="12"/>
      <c r="P259" s="12">
        <v>2000</v>
      </c>
      <c r="Q259" s="12">
        <v>1000</v>
      </c>
      <c r="R259" s="12"/>
      <c r="S259" s="12">
        <v>150</v>
      </c>
      <c r="T259" s="12"/>
      <c r="U259" s="12"/>
      <c r="V259" s="12">
        <f t="shared" si="3"/>
        <v>45333</v>
      </c>
      <c r="W259" s="12">
        <v>1266</v>
      </c>
      <c r="X259" s="12">
        <v>92</v>
      </c>
      <c r="Y259" s="12">
        <f>Table1[[#This Row],[LOAD K.M]]+Table1[[#This Row],[EMPTY K.M]]</f>
        <v>1358</v>
      </c>
      <c r="Z259" s="12">
        <f>Table1[[#This Row],[INVOICE AMOUNT2]]-Table1[[#This Row],[Total Exp.]]</f>
        <v>47253</v>
      </c>
      <c r="AA259" s="12">
        <f>Table1[[#This Row],[Total Exp.]]/Table1[[#This Row],[Total k.m]]</f>
        <v>33.382179675994109</v>
      </c>
      <c r="AB259" s="12">
        <f>Table1[[#This Row],[Profit/loss]]/Table1[[#This Row],[Total k.m]]</f>
        <v>34.796023564064804</v>
      </c>
      <c r="AC259" s="12">
        <f>Table1[[#This Row],[INVOICE AMOUNT2]]/Table1[[#This Row],[Total k.m]]</f>
        <v>68.178203240058906</v>
      </c>
    </row>
    <row r="260" spans="1:29" x14ac:dyDescent="0.3">
      <c r="A260" s="13">
        <v>258</v>
      </c>
      <c r="B260" s="25" t="s">
        <v>512</v>
      </c>
      <c r="C260" s="12" t="s">
        <v>134</v>
      </c>
      <c r="D260" s="10">
        <v>45986</v>
      </c>
      <c r="E260" s="24" t="s">
        <v>508</v>
      </c>
      <c r="F260" s="12" t="s">
        <v>35</v>
      </c>
      <c r="G260" s="12" t="s">
        <v>36</v>
      </c>
      <c r="H260" s="12" t="s">
        <v>70</v>
      </c>
      <c r="I260" s="12">
        <v>8</v>
      </c>
      <c r="J260" s="12">
        <v>154325</v>
      </c>
      <c r="K260" s="21">
        <v>59593</v>
      </c>
      <c r="L260" s="12"/>
      <c r="M260" s="12">
        <v>4500</v>
      </c>
      <c r="N260" s="12"/>
      <c r="O260" s="12"/>
      <c r="P260" s="12">
        <v>2000</v>
      </c>
      <c r="Q260" s="12">
        <v>1000</v>
      </c>
      <c r="R260" s="12"/>
      <c r="S260" s="12">
        <v>1100</v>
      </c>
      <c r="T260" s="12"/>
      <c r="U260" s="12">
        <v>2640</v>
      </c>
      <c r="V260" s="12">
        <f t="shared" ref="V260:V263" si="4">SUM(K260:U260)</f>
        <v>70833</v>
      </c>
      <c r="W260" s="12">
        <v>1330</v>
      </c>
      <c r="X260" s="12">
        <v>851</v>
      </c>
      <c r="Y260" s="12">
        <f>Table1[[#This Row],[LOAD K.M]]+Table1[[#This Row],[EMPTY K.M]]</f>
        <v>2181</v>
      </c>
      <c r="Z260" s="12">
        <f>Table1[[#This Row],[INVOICE AMOUNT2]]-Table1[[#This Row],[Total Exp.]]</f>
        <v>83492</v>
      </c>
      <c r="AA260" s="12">
        <f>Table1[[#This Row],[Total Exp.]]/Table1[[#This Row],[Total k.m]]</f>
        <v>32.477303988995871</v>
      </c>
      <c r="AB260" s="12">
        <f>Table1[[#This Row],[Profit/loss]]/Table1[[#This Row],[Total k.m]]</f>
        <v>38.281522237505733</v>
      </c>
      <c r="AC260" s="12">
        <f>Table1[[#This Row],[INVOICE AMOUNT2]]/Table1[[#This Row],[Total k.m]]</f>
        <v>70.758826226501611</v>
      </c>
    </row>
    <row r="261" spans="1:29" x14ac:dyDescent="0.3">
      <c r="A261" s="13">
        <v>259</v>
      </c>
      <c r="B261" s="25" t="s">
        <v>513</v>
      </c>
      <c r="C261" s="12" t="s">
        <v>98</v>
      </c>
      <c r="D261" s="10">
        <v>45986</v>
      </c>
      <c r="E261" s="24" t="s">
        <v>514</v>
      </c>
      <c r="F261" s="12" t="s">
        <v>65</v>
      </c>
      <c r="G261" s="12" t="s">
        <v>66</v>
      </c>
      <c r="H261" s="12" t="s">
        <v>36</v>
      </c>
      <c r="I261" s="12">
        <v>8</v>
      </c>
      <c r="J261" s="12">
        <v>92356</v>
      </c>
      <c r="K261" s="21">
        <v>36094</v>
      </c>
      <c r="L261" s="12"/>
      <c r="M261" s="12">
        <v>4500</v>
      </c>
      <c r="N261" s="12"/>
      <c r="O261" s="12"/>
      <c r="P261" s="12">
        <v>2000</v>
      </c>
      <c r="Q261" s="12">
        <v>1000</v>
      </c>
      <c r="R261" s="12"/>
      <c r="S261" s="12">
        <v>600</v>
      </c>
      <c r="T261" s="12"/>
      <c r="U261" s="12">
        <v>1320</v>
      </c>
      <c r="V261" s="12">
        <f t="shared" si="4"/>
        <v>45514</v>
      </c>
      <c r="W261" s="12">
        <v>1260</v>
      </c>
      <c r="X261" s="12">
        <v>29</v>
      </c>
      <c r="Y261" s="12">
        <f>Table1[[#This Row],[LOAD K.M]]+Table1[[#This Row],[EMPTY K.M]]</f>
        <v>1289</v>
      </c>
      <c r="Z261" s="12">
        <f>Table1[[#This Row],[INVOICE AMOUNT2]]-Table1[[#This Row],[Total Exp.]]</f>
        <v>46842</v>
      </c>
      <c r="AA261" s="12">
        <f>Table1[[#This Row],[Total Exp.]]/Table1[[#This Row],[Total k.m]]</f>
        <v>35.30954228083786</v>
      </c>
      <c r="AB261" s="12">
        <f>Table1[[#This Row],[Profit/loss]]/Table1[[#This Row],[Total k.m]]</f>
        <v>36.339798293250581</v>
      </c>
      <c r="AC261" s="12">
        <f>Table1[[#This Row],[INVOICE AMOUNT2]]/Table1[[#This Row],[Total k.m]]</f>
        <v>71.649340574088441</v>
      </c>
    </row>
    <row r="262" spans="1:29" x14ac:dyDescent="0.3">
      <c r="A262" s="13">
        <v>260</v>
      </c>
      <c r="B262" s="25" t="s">
        <v>515</v>
      </c>
      <c r="C262" s="12" t="s">
        <v>93</v>
      </c>
      <c r="D262" s="10">
        <v>45986</v>
      </c>
      <c r="E262" s="24" t="s">
        <v>514</v>
      </c>
      <c r="F262" s="12" t="s">
        <v>35</v>
      </c>
      <c r="G262" s="12" t="s">
        <v>250</v>
      </c>
      <c r="H262" s="12" t="s">
        <v>226</v>
      </c>
      <c r="I262" s="12">
        <v>8</v>
      </c>
      <c r="J262" s="12">
        <v>88568</v>
      </c>
      <c r="K262" s="21">
        <v>28850</v>
      </c>
      <c r="L262" s="12"/>
      <c r="M262" s="12">
        <v>4500</v>
      </c>
      <c r="N262" s="12"/>
      <c r="O262" s="12"/>
      <c r="P262" s="12">
        <v>2000</v>
      </c>
      <c r="Q262" s="12">
        <v>1000</v>
      </c>
      <c r="R262" s="12"/>
      <c r="S262" s="12">
        <v>600</v>
      </c>
      <c r="T262" s="12"/>
      <c r="U262" s="12"/>
      <c r="V262" s="12">
        <f t="shared" si="4"/>
        <v>36950</v>
      </c>
      <c r="W262" s="12">
        <v>471</v>
      </c>
      <c r="X262" s="12">
        <v>633</v>
      </c>
      <c r="Y262" s="12">
        <f>Table1[[#This Row],[LOAD K.M]]+Table1[[#This Row],[EMPTY K.M]]</f>
        <v>1104</v>
      </c>
      <c r="Z262" s="12">
        <f>Table1[[#This Row],[INVOICE AMOUNT2]]-Table1[[#This Row],[Total Exp.]]</f>
        <v>51618</v>
      </c>
      <c r="AA262" s="12">
        <f>Table1[[#This Row],[Total Exp.]]/Table1[[#This Row],[Total k.m]]</f>
        <v>33.469202898550726</v>
      </c>
      <c r="AB262" s="12">
        <f>Table1[[#This Row],[Profit/loss]]/Table1[[#This Row],[Total k.m]]</f>
        <v>46.755434782608695</v>
      </c>
      <c r="AC262" s="12">
        <f>Table1[[#This Row],[INVOICE AMOUNT2]]/Table1[[#This Row],[Total k.m]]</f>
        <v>80.224637681159422</v>
      </c>
    </row>
    <row r="263" spans="1:29" x14ac:dyDescent="0.3">
      <c r="A263" s="13">
        <v>261</v>
      </c>
      <c r="B263" s="25" t="s">
        <v>516</v>
      </c>
      <c r="C263" s="12" t="s">
        <v>82</v>
      </c>
      <c r="D263" s="10">
        <v>45986</v>
      </c>
      <c r="E263" s="24" t="s">
        <v>514</v>
      </c>
      <c r="F263" s="12" t="s">
        <v>35</v>
      </c>
      <c r="G263" s="12" t="s">
        <v>99</v>
      </c>
      <c r="H263" s="12" t="s">
        <v>36</v>
      </c>
      <c r="I263" s="12">
        <v>8</v>
      </c>
      <c r="J263" s="15">
        <v>109890</v>
      </c>
      <c r="K263" s="21">
        <v>55323</v>
      </c>
      <c r="L263" s="12"/>
      <c r="M263" s="12">
        <v>4000</v>
      </c>
      <c r="N263" s="12"/>
      <c r="O263" s="12"/>
      <c r="P263" s="12">
        <v>2000</v>
      </c>
      <c r="Q263" s="12">
        <v>1000</v>
      </c>
      <c r="R263" s="12"/>
      <c r="S263" s="12"/>
      <c r="T263" s="12"/>
      <c r="U263" s="12">
        <v>2640</v>
      </c>
      <c r="V263" s="12">
        <f t="shared" si="4"/>
        <v>64963</v>
      </c>
      <c r="W263" s="12">
        <v>1673</v>
      </c>
      <c r="X263" s="12">
        <v>411</v>
      </c>
      <c r="Y263" s="12">
        <f>Table1[[#This Row],[LOAD K.M]]+Table1[[#This Row],[EMPTY K.M]]</f>
        <v>2084</v>
      </c>
      <c r="Z263" s="12">
        <f>Table1[[#This Row],[INVOICE AMOUNT2]]-Table1[[#This Row],[Total Exp.]]</f>
        <v>44927</v>
      </c>
      <c r="AA263" s="12">
        <f>Table1[[#This Row],[Total Exp.]]/Table1[[#This Row],[Total k.m]]</f>
        <v>31.172264875239922</v>
      </c>
      <c r="AB263" s="12">
        <f>Table1[[#This Row],[Profit/loss]]/Table1[[#This Row],[Total k.m]]</f>
        <v>21.558061420345489</v>
      </c>
      <c r="AC263" s="12">
        <f>Table1[[#This Row],[INVOICE AMOUNT2]]/Table1[[#This Row],[Total k.m]]</f>
        <v>52.730326295585414</v>
      </c>
    </row>
    <row r="264" spans="1:29" x14ac:dyDescent="0.3">
      <c r="A264" s="51">
        <v>262</v>
      </c>
      <c r="B264" s="52" t="s">
        <v>517</v>
      </c>
      <c r="C264" s="53" t="s">
        <v>72</v>
      </c>
      <c r="D264" s="61">
        <v>45986</v>
      </c>
      <c r="E264" s="62" t="s">
        <v>518</v>
      </c>
      <c r="F264" s="53" t="s">
        <v>35</v>
      </c>
      <c r="G264" s="53" t="s">
        <v>250</v>
      </c>
      <c r="H264" s="53" t="s">
        <v>207</v>
      </c>
      <c r="I264" s="53">
        <v>8</v>
      </c>
      <c r="J264" s="53">
        <v>85651</v>
      </c>
      <c r="K264" s="21">
        <v>24765</v>
      </c>
      <c r="L264" s="53"/>
      <c r="M264" s="53">
        <v>1500</v>
      </c>
      <c r="N264" s="53"/>
      <c r="O264" s="53"/>
      <c r="P264" s="53">
        <v>2000</v>
      </c>
      <c r="Q264" s="53">
        <v>1000</v>
      </c>
      <c r="R264" s="53"/>
      <c r="S264" s="53">
        <v>2800</v>
      </c>
      <c r="T264" s="53"/>
      <c r="U264" s="53">
        <v>1320</v>
      </c>
      <c r="V264" s="53">
        <f>SUM(K264:U264)</f>
        <v>33385</v>
      </c>
      <c r="W264" s="53">
        <v>780</v>
      </c>
      <c r="X264" s="53">
        <v>140</v>
      </c>
      <c r="Y264" s="53">
        <f>Table1[[#This Row],[LOAD K.M]]+Table1[[#This Row],[EMPTY K.M]]</f>
        <v>920</v>
      </c>
      <c r="Z264" s="53">
        <f>Table1[[#This Row],[INVOICE AMOUNT2]]-Table1[[#This Row],[Total Exp.]]</f>
        <v>52266</v>
      </c>
      <c r="AA264" s="53">
        <f>Table1[[#This Row],[Total Exp.]]/Table1[[#This Row],[Total k.m]]</f>
        <v>36.288043478260867</v>
      </c>
      <c r="AB264" s="53">
        <f>Table1[[#This Row],[Profit/loss]]/Table1[[#This Row],[Total k.m]]</f>
        <v>56.810869565217388</v>
      </c>
      <c r="AC264" s="12">
        <f>Table1[[#This Row],[INVOICE AMOUNT2]]/Table1[[#This Row],[Total k.m]]</f>
        <v>93.098913043478262</v>
      </c>
    </row>
    <row r="265" spans="1:29" x14ac:dyDescent="0.3">
      <c r="A265" s="13">
        <v>263</v>
      </c>
      <c r="B265" s="25" t="s">
        <v>519</v>
      </c>
      <c r="C265" s="12" t="s">
        <v>87</v>
      </c>
      <c r="D265" s="61">
        <v>45986</v>
      </c>
      <c r="E265" s="62" t="s">
        <v>520</v>
      </c>
      <c r="F265" s="53" t="s">
        <v>35</v>
      </c>
      <c r="G265" s="53" t="s">
        <v>250</v>
      </c>
      <c r="H265" s="12" t="s">
        <v>85</v>
      </c>
      <c r="I265" s="12">
        <v>8</v>
      </c>
      <c r="J265" s="12">
        <v>98568</v>
      </c>
      <c r="K265" s="27">
        <v>50522</v>
      </c>
      <c r="L265" s="12"/>
      <c r="M265" s="12">
        <v>4500</v>
      </c>
      <c r="N265" s="12"/>
      <c r="O265" s="12"/>
      <c r="P265" s="12">
        <v>2000</v>
      </c>
      <c r="Q265" s="12">
        <v>1500</v>
      </c>
      <c r="R265" s="12"/>
      <c r="S265" s="12">
        <v>600</v>
      </c>
      <c r="T265" s="12"/>
      <c r="U265" s="12"/>
      <c r="V265" s="12">
        <f t="shared" ref="V265:V316" si="5">SUM(K265:U265)</f>
        <v>59122</v>
      </c>
      <c r="W265" s="12">
        <v>1294</v>
      </c>
      <c r="X265" s="12">
        <v>585</v>
      </c>
      <c r="Y265" s="12">
        <f>Table1[[#This Row],[LOAD K.M]]+Table1[[#This Row],[EMPTY K.M]]</f>
        <v>1879</v>
      </c>
      <c r="Z265" s="12">
        <f>Table1[[#This Row],[INVOICE AMOUNT2]]-Table1[[#This Row],[Total Exp.]]</f>
        <v>39446</v>
      </c>
      <c r="AA265" s="12">
        <f>Table1[[#This Row],[Total Exp.]]/Table1[[#This Row],[Total k.m]]</f>
        <v>31.46460883448643</v>
      </c>
      <c r="AB265" s="12">
        <f>Table1[[#This Row],[Profit/loss]]/Table1[[#This Row],[Total k.m]]</f>
        <v>20.99308142629058</v>
      </c>
      <c r="AC265" s="12">
        <f>Table1[[#This Row],[INVOICE AMOUNT2]]/Table1[[#This Row],[Total k.m]]</f>
        <v>52.457690260777007</v>
      </c>
    </row>
    <row r="266" spans="1:29" x14ac:dyDescent="0.3">
      <c r="A266" s="51">
        <v>264</v>
      </c>
      <c r="B266" s="52" t="s">
        <v>521</v>
      </c>
      <c r="C266" s="12" t="s">
        <v>59</v>
      </c>
      <c r="D266" s="61">
        <v>45986</v>
      </c>
      <c r="E266" s="62" t="s">
        <v>520</v>
      </c>
      <c r="F266" s="53" t="s">
        <v>65</v>
      </c>
      <c r="G266" s="12" t="s">
        <v>66</v>
      </c>
      <c r="H266" s="12" t="s">
        <v>207</v>
      </c>
      <c r="I266" s="12">
        <v>8</v>
      </c>
      <c r="J266" s="12">
        <v>79212</v>
      </c>
      <c r="K266" s="21">
        <v>44668</v>
      </c>
      <c r="L266" s="12"/>
      <c r="M266" s="12">
        <v>4500</v>
      </c>
      <c r="N266" s="12"/>
      <c r="O266" s="12"/>
      <c r="P266" s="12">
        <v>2000</v>
      </c>
      <c r="Q266" s="12">
        <v>1000</v>
      </c>
      <c r="R266" s="12"/>
      <c r="S266" s="12">
        <v>450</v>
      </c>
      <c r="T266" s="12"/>
      <c r="U266" s="12">
        <v>2640</v>
      </c>
      <c r="V266" s="12">
        <f t="shared" si="5"/>
        <v>55258</v>
      </c>
      <c r="W266" s="12">
        <v>1299</v>
      </c>
      <c r="X266" s="12">
        <v>330</v>
      </c>
      <c r="Y266" s="12">
        <f>Table1[[#This Row],[LOAD K.M]]+Table1[[#This Row],[EMPTY K.M]]</f>
        <v>1629</v>
      </c>
      <c r="Z266" s="12">
        <f>Table1[[#This Row],[INVOICE AMOUNT2]]-Table1[[#This Row],[Total Exp.]]</f>
        <v>23954</v>
      </c>
      <c r="AA266" s="12">
        <f>Table1[[#This Row],[Total Exp.]]/Table1[[#This Row],[Total k.m]]</f>
        <v>33.921424186617557</v>
      </c>
      <c r="AB266" s="12">
        <f>Table1[[#This Row],[Profit/loss]]/Table1[[#This Row],[Total k.m]]</f>
        <v>14.704726826273788</v>
      </c>
      <c r="AC266" s="12">
        <f>Table1[[#This Row],[INVOICE AMOUNT2]]/Table1[[#This Row],[Total k.m]]</f>
        <v>48.626151012891341</v>
      </c>
    </row>
    <row r="267" spans="1:29" x14ac:dyDescent="0.3">
      <c r="A267" s="13">
        <v>265</v>
      </c>
      <c r="B267" s="25" t="s">
        <v>522</v>
      </c>
      <c r="C267" s="12" t="s">
        <v>77</v>
      </c>
      <c r="D267" s="61">
        <v>45986</v>
      </c>
      <c r="E267" s="62" t="s">
        <v>520</v>
      </c>
      <c r="F267" s="12" t="s">
        <v>35</v>
      </c>
      <c r="G267" s="12" t="s">
        <v>99</v>
      </c>
      <c r="H267" s="12" t="s">
        <v>326</v>
      </c>
      <c r="I267" s="12">
        <v>8</v>
      </c>
      <c r="J267" s="12">
        <v>78547</v>
      </c>
      <c r="K267" s="21">
        <v>43872</v>
      </c>
      <c r="L267" s="12"/>
      <c r="M267" s="12">
        <v>5000</v>
      </c>
      <c r="N267" s="12"/>
      <c r="O267" s="12"/>
      <c r="P267" s="12">
        <v>2000</v>
      </c>
      <c r="Q267" s="12">
        <v>1000</v>
      </c>
      <c r="R267" s="12"/>
      <c r="S267" s="12">
        <v>1500</v>
      </c>
      <c r="T267" s="12"/>
      <c r="U267" s="12"/>
      <c r="V267" s="12">
        <f t="shared" si="5"/>
        <v>53372</v>
      </c>
      <c r="W267" s="12">
        <v>867</v>
      </c>
      <c r="X267" s="12">
        <v>840</v>
      </c>
      <c r="Y267" s="12">
        <f>Table1[[#This Row],[LOAD K.M]]+Table1[[#This Row],[EMPTY K.M]]</f>
        <v>1707</v>
      </c>
      <c r="Z267" s="12">
        <f>Table1[[#This Row],[INVOICE AMOUNT2]]-Table1[[#This Row],[Total Exp.]]</f>
        <v>25175</v>
      </c>
      <c r="AA267" s="12">
        <f>Table1[[#This Row],[Total Exp.]]/Table1[[#This Row],[Total k.m]]</f>
        <v>31.266549502050381</v>
      </c>
      <c r="AB267" s="12">
        <f>Table1[[#This Row],[Profit/loss]]/Table1[[#This Row],[Total k.m]]</f>
        <v>14.748096074985355</v>
      </c>
      <c r="AC267" s="12">
        <f>Table1[[#This Row],[INVOICE AMOUNT2]]/Table1[[#This Row],[Total k.m]]</f>
        <v>46.014645577035736</v>
      </c>
    </row>
    <row r="268" spans="1:29" x14ac:dyDescent="0.3">
      <c r="A268" s="51">
        <v>266</v>
      </c>
      <c r="B268" s="52" t="s">
        <v>523</v>
      </c>
      <c r="C268" s="12" t="s">
        <v>109</v>
      </c>
      <c r="D268" s="61">
        <v>45986</v>
      </c>
      <c r="E268" s="62" t="s">
        <v>520</v>
      </c>
      <c r="F268" s="12" t="s">
        <v>35</v>
      </c>
      <c r="G268" s="12" t="s">
        <v>99</v>
      </c>
      <c r="H268" s="12" t="s">
        <v>197</v>
      </c>
      <c r="I268" s="12">
        <v>6</v>
      </c>
      <c r="J268" s="12">
        <v>145890</v>
      </c>
      <c r="K268" s="21">
        <v>75503</v>
      </c>
      <c r="L268" s="12"/>
      <c r="M268" s="12">
        <v>7500</v>
      </c>
      <c r="N268" s="12"/>
      <c r="O268" s="12"/>
      <c r="P268" s="12">
        <v>2000</v>
      </c>
      <c r="Q268" s="12">
        <v>1000</v>
      </c>
      <c r="R268" s="12"/>
      <c r="S268" s="12"/>
      <c r="T268" s="12"/>
      <c r="U268" s="12">
        <v>2640</v>
      </c>
      <c r="V268" s="12">
        <f t="shared" si="5"/>
        <v>88643</v>
      </c>
      <c r="W268" s="12">
        <v>2426</v>
      </c>
      <c r="X268" s="12">
        <v>348</v>
      </c>
      <c r="Y268" s="12">
        <f>Table1[[#This Row],[LOAD K.M]]+Table1[[#This Row],[EMPTY K.M]]</f>
        <v>2774</v>
      </c>
      <c r="Z268" s="12">
        <f>Table1[[#This Row],[INVOICE AMOUNT2]]-Table1[[#This Row],[Total Exp.]]</f>
        <v>57247</v>
      </c>
      <c r="AA268" s="12">
        <f>Table1[[#This Row],[Total Exp.]]/Table1[[#This Row],[Total k.m]]</f>
        <v>31.954938716654649</v>
      </c>
      <c r="AB268" s="12">
        <f>Table1[[#This Row],[Profit/loss]]/Table1[[#This Row],[Total k.m]]</f>
        <v>20.636986301369863</v>
      </c>
      <c r="AC268" s="12">
        <f>Table1[[#This Row],[INVOICE AMOUNT2]]/Table1[[#This Row],[Total k.m]]</f>
        <v>52.591925018024511</v>
      </c>
    </row>
    <row r="269" spans="1:29" x14ac:dyDescent="0.3">
      <c r="A269" s="13">
        <v>267</v>
      </c>
      <c r="B269" s="25" t="s">
        <v>524</v>
      </c>
      <c r="C269" s="12" t="s">
        <v>75</v>
      </c>
      <c r="D269" s="61">
        <v>45986</v>
      </c>
      <c r="E269" s="62" t="s">
        <v>520</v>
      </c>
      <c r="F269" s="12" t="s">
        <v>35</v>
      </c>
      <c r="G269" s="12" t="s">
        <v>250</v>
      </c>
      <c r="H269" s="12" t="s">
        <v>342</v>
      </c>
      <c r="I269" s="12">
        <v>8</v>
      </c>
      <c r="J269" s="12">
        <v>75862</v>
      </c>
      <c r="K269" s="21">
        <v>37048</v>
      </c>
      <c r="L269" s="12"/>
      <c r="M269" s="12">
        <v>1500</v>
      </c>
      <c r="N269" s="12"/>
      <c r="O269" s="12"/>
      <c r="P269" s="12">
        <v>2000</v>
      </c>
      <c r="Q269" s="12">
        <v>1000</v>
      </c>
      <c r="R269" s="12"/>
      <c r="S269" s="12">
        <v>1200</v>
      </c>
      <c r="T269" s="12">
        <v>250</v>
      </c>
      <c r="U269" s="12">
        <v>2640</v>
      </c>
      <c r="V269" s="12">
        <f t="shared" si="5"/>
        <v>45638</v>
      </c>
      <c r="W269" s="12">
        <v>1052</v>
      </c>
      <c r="X269" s="12">
        <v>326</v>
      </c>
      <c r="Y269" s="12">
        <f>Table1[[#This Row],[LOAD K.M]]+Table1[[#This Row],[EMPTY K.M]]</f>
        <v>1378</v>
      </c>
      <c r="Z269" s="12">
        <f>Table1[[#This Row],[INVOICE AMOUNT2]]-Table1[[#This Row],[Total Exp.]]</f>
        <v>30224</v>
      </c>
      <c r="AA269" s="12">
        <f>Table1[[#This Row],[Total Exp.]]/Table1[[#This Row],[Total k.m]]</f>
        <v>33.119013062409287</v>
      </c>
      <c r="AB269" s="12">
        <f>Table1[[#This Row],[Profit/loss]]/Table1[[#This Row],[Total k.m]]</f>
        <v>21.933236574746008</v>
      </c>
      <c r="AC269" s="12">
        <f>Table1[[#This Row],[INVOICE AMOUNT2]]/Table1[[#This Row],[Total k.m]]</f>
        <v>55.052249637155299</v>
      </c>
    </row>
    <row r="270" spans="1:29" x14ac:dyDescent="0.3">
      <c r="A270" s="51">
        <v>268</v>
      </c>
      <c r="B270" s="52" t="s">
        <v>525</v>
      </c>
      <c r="C270" s="12" t="s">
        <v>84</v>
      </c>
      <c r="D270" s="61">
        <v>45986</v>
      </c>
      <c r="E270" s="62" t="s">
        <v>520</v>
      </c>
      <c r="F270" s="12" t="s">
        <v>178</v>
      </c>
      <c r="G270" s="12" t="s">
        <v>196</v>
      </c>
      <c r="H270" s="12" t="s">
        <v>85</v>
      </c>
      <c r="I270" s="12">
        <v>6</v>
      </c>
      <c r="J270" s="12">
        <v>88652</v>
      </c>
      <c r="K270" s="21">
        <v>40093</v>
      </c>
      <c r="L270" s="12"/>
      <c r="M270" s="12">
        <v>4500</v>
      </c>
      <c r="N270" s="12"/>
      <c r="O270" s="12"/>
      <c r="P270" s="12">
        <v>2000</v>
      </c>
      <c r="Q270" s="12">
        <v>1500</v>
      </c>
      <c r="R270" s="12"/>
      <c r="S270" s="12">
        <v>300</v>
      </c>
      <c r="T270" s="12"/>
      <c r="U270" s="12">
        <v>2640</v>
      </c>
      <c r="V270" s="12">
        <f t="shared" si="5"/>
        <v>51033</v>
      </c>
      <c r="W270" s="12">
        <v>897</v>
      </c>
      <c r="X270" s="12">
        <v>608</v>
      </c>
      <c r="Y270" s="12">
        <f>Table1[[#This Row],[LOAD K.M]]+Table1[[#This Row],[EMPTY K.M]]</f>
        <v>1505</v>
      </c>
      <c r="Z270" s="12">
        <f>Table1[[#This Row],[INVOICE AMOUNT2]]-Table1[[#This Row],[Total Exp.]]</f>
        <v>37619</v>
      </c>
      <c r="AA270" s="12">
        <f>Table1[[#This Row],[Total Exp.]]/Table1[[#This Row],[Total k.m]]</f>
        <v>33.908970099667776</v>
      </c>
      <c r="AB270" s="12">
        <f>Table1[[#This Row],[Profit/loss]]/Table1[[#This Row],[Total k.m]]</f>
        <v>24.996013289036544</v>
      </c>
      <c r="AC270" s="12">
        <f>Table1[[#This Row],[INVOICE AMOUNT2]]/Table1[[#This Row],[Total k.m]]</f>
        <v>58.904983388704316</v>
      </c>
    </row>
    <row r="271" spans="1:29" x14ac:dyDescent="0.3">
      <c r="A271" s="13">
        <v>269</v>
      </c>
      <c r="B271" s="25" t="s">
        <v>526</v>
      </c>
      <c r="C271" s="12" t="s">
        <v>105</v>
      </c>
      <c r="D271" s="61">
        <v>45986</v>
      </c>
      <c r="E271" s="62" t="s">
        <v>520</v>
      </c>
      <c r="F271" s="12" t="s">
        <v>65</v>
      </c>
      <c r="G271" s="12" t="s">
        <v>66</v>
      </c>
      <c r="H271" s="12" t="s">
        <v>527</v>
      </c>
      <c r="I271" s="12">
        <v>8</v>
      </c>
      <c r="J271" s="12">
        <v>92856</v>
      </c>
      <c r="K271" s="21">
        <v>34648</v>
      </c>
      <c r="L271" s="12"/>
      <c r="M271" s="12">
        <v>4500</v>
      </c>
      <c r="N271" s="12"/>
      <c r="O271" s="12"/>
      <c r="P271" s="12">
        <v>2000</v>
      </c>
      <c r="Q271" s="12">
        <v>1000</v>
      </c>
      <c r="R271" s="12"/>
      <c r="S271" s="12">
        <v>450</v>
      </c>
      <c r="T271" s="12"/>
      <c r="U271" s="12"/>
      <c r="V271" s="12">
        <f t="shared" si="5"/>
        <v>42598</v>
      </c>
      <c r="W271" s="12">
        <v>975</v>
      </c>
      <c r="X271" s="12">
        <v>286</v>
      </c>
      <c r="Y271" s="12">
        <f>Table1[[#This Row],[LOAD K.M]]+Table1[[#This Row],[EMPTY K.M]]</f>
        <v>1261</v>
      </c>
      <c r="Z271" s="12">
        <f>Table1[[#This Row],[INVOICE AMOUNT2]]-Table1[[#This Row],[Total Exp.]]</f>
        <v>50258</v>
      </c>
      <c r="AA271" s="12">
        <f>Table1[[#This Row],[Total Exp.]]/Table1[[#This Row],[Total k.m]]</f>
        <v>33.781126090404442</v>
      </c>
      <c r="AB271" s="12">
        <f>Table1[[#This Row],[Profit/loss]]/Table1[[#This Row],[Total k.m]]</f>
        <v>39.855670103092784</v>
      </c>
      <c r="AC271" s="12">
        <f>Table1[[#This Row],[INVOICE AMOUNT2]]/Table1[[#This Row],[Total k.m]]</f>
        <v>73.636796193497219</v>
      </c>
    </row>
    <row r="272" spans="1:29" x14ac:dyDescent="0.3">
      <c r="A272" s="51">
        <v>270</v>
      </c>
      <c r="B272" s="52" t="s">
        <v>528</v>
      </c>
      <c r="C272" s="12" t="s">
        <v>39</v>
      </c>
      <c r="D272" s="61">
        <v>45986</v>
      </c>
      <c r="E272" s="62" t="s">
        <v>520</v>
      </c>
      <c r="F272" s="12" t="s">
        <v>65</v>
      </c>
      <c r="G272" s="12" t="s">
        <v>66</v>
      </c>
      <c r="H272" s="12" t="s">
        <v>529</v>
      </c>
      <c r="I272" s="12">
        <v>8</v>
      </c>
      <c r="J272" s="12">
        <v>90586</v>
      </c>
      <c r="K272" s="21">
        <v>33006</v>
      </c>
      <c r="L272" s="12"/>
      <c r="M272" s="12">
        <v>4500</v>
      </c>
      <c r="N272" s="12"/>
      <c r="O272" s="12"/>
      <c r="P272" s="12">
        <v>2000</v>
      </c>
      <c r="Q272" s="12">
        <v>1000</v>
      </c>
      <c r="R272" s="12"/>
      <c r="S272" s="12">
        <v>600</v>
      </c>
      <c r="T272" s="12"/>
      <c r="U272" s="12">
        <v>1290</v>
      </c>
      <c r="V272" s="12">
        <f t="shared" si="5"/>
        <v>42396</v>
      </c>
      <c r="W272" s="12">
        <v>844</v>
      </c>
      <c r="X272" s="12">
        <v>380</v>
      </c>
      <c r="Y272" s="12">
        <f>Table1[[#This Row],[LOAD K.M]]+Table1[[#This Row],[EMPTY K.M]]</f>
        <v>1224</v>
      </c>
      <c r="Z272" s="12">
        <f>Table1[[#This Row],[INVOICE AMOUNT2]]-Table1[[#This Row],[Total Exp.]]</f>
        <v>48190</v>
      </c>
      <c r="AA272" s="12">
        <f>Table1[[#This Row],[Total Exp.]]/Table1[[#This Row],[Total k.m]]</f>
        <v>34.637254901960787</v>
      </c>
      <c r="AB272" s="12">
        <f>Table1[[#This Row],[Profit/loss]]/Table1[[#This Row],[Total k.m]]</f>
        <v>39.37091503267974</v>
      </c>
      <c r="AC272" s="12">
        <f>Table1[[#This Row],[INVOICE AMOUNT2]]/Table1[[#This Row],[Total k.m]]</f>
        <v>74.00816993464052</v>
      </c>
    </row>
    <row r="273" spans="1:29" x14ac:dyDescent="0.3">
      <c r="A273" s="13">
        <v>271</v>
      </c>
      <c r="B273" s="25" t="s">
        <v>530</v>
      </c>
      <c r="C273" s="12" t="s">
        <v>46</v>
      </c>
      <c r="D273" s="61">
        <v>45986</v>
      </c>
      <c r="E273" s="24" t="s">
        <v>531</v>
      </c>
      <c r="F273" s="12" t="s">
        <v>65</v>
      </c>
      <c r="G273" s="12" t="s">
        <v>66</v>
      </c>
      <c r="H273" s="12" t="s">
        <v>196</v>
      </c>
      <c r="I273" s="12">
        <v>8</v>
      </c>
      <c r="J273" s="12">
        <v>92868</v>
      </c>
      <c r="K273" s="21">
        <v>41698</v>
      </c>
      <c r="L273" s="12"/>
      <c r="M273" s="12">
        <v>4500</v>
      </c>
      <c r="N273" s="12"/>
      <c r="O273" s="12"/>
      <c r="P273" s="12">
        <v>2000</v>
      </c>
      <c r="Q273" s="12">
        <v>1000</v>
      </c>
      <c r="R273" s="12"/>
      <c r="S273" s="12">
        <v>450</v>
      </c>
      <c r="T273" s="12">
        <v>1000</v>
      </c>
      <c r="U273" s="12">
        <v>1320</v>
      </c>
      <c r="V273" s="12">
        <f t="shared" si="5"/>
        <v>51968</v>
      </c>
      <c r="W273" s="12">
        <v>1463</v>
      </c>
      <c r="X273" s="12">
        <v>27</v>
      </c>
      <c r="Y273" s="12">
        <f>Table1[[#This Row],[LOAD K.M]]+Table1[[#This Row],[EMPTY K.M]]</f>
        <v>1490</v>
      </c>
      <c r="Z273" s="12">
        <f>Table1[[#This Row],[INVOICE AMOUNT2]]-Table1[[#This Row],[Total Exp.]]</f>
        <v>40900</v>
      </c>
      <c r="AA273" s="12">
        <f>Table1[[#This Row],[Total Exp.]]/Table1[[#This Row],[Total k.m]]</f>
        <v>34.877852348993287</v>
      </c>
      <c r="AB273" s="12">
        <f>Table1[[#This Row],[Profit/loss]]/Table1[[#This Row],[Total k.m]]</f>
        <v>27.449664429530202</v>
      </c>
      <c r="AC273" s="12">
        <f>Table1[[#This Row],[INVOICE AMOUNT2]]/Table1[[#This Row],[Total k.m]]</f>
        <v>62.327516778523488</v>
      </c>
    </row>
    <row r="274" spans="1:29" x14ac:dyDescent="0.3">
      <c r="A274" s="51">
        <v>272</v>
      </c>
      <c r="B274" s="52" t="s">
        <v>532</v>
      </c>
      <c r="C274" s="12" t="s">
        <v>63</v>
      </c>
      <c r="D274" s="61">
        <v>45986</v>
      </c>
      <c r="E274" s="24" t="s">
        <v>531</v>
      </c>
      <c r="F274" s="12" t="s">
        <v>65</v>
      </c>
      <c r="G274" s="12" t="s">
        <v>66</v>
      </c>
      <c r="H274" s="12" t="s">
        <v>36</v>
      </c>
      <c r="I274" s="12">
        <v>6</v>
      </c>
      <c r="J274" s="12">
        <v>95783</v>
      </c>
      <c r="K274" s="21">
        <v>34185</v>
      </c>
      <c r="L274" s="12"/>
      <c r="M274" s="12">
        <v>4500</v>
      </c>
      <c r="N274" s="12"/>
      <c r="O274" s="12"/>
      <c r="P274" s="12">
        <v>2000</v>
      </c>
      <c r="Q274" s="12">
        <v>1000</v>
      </c>
      <c r="R274" s="12"/>
      <c r="S274" s="12">
        <v>300</v>
      </c>
      <c r="T274" s="12"/>
      <c r="U274" s="12">
        <v>1320</v>
      </c>
      <c r="V274" s="12">
        <f t="shared" si="5"/>
        <v>43305</v>
      </c>
      <c r="W274" s="12">
        <v>1167</v>
      </c>
      <c r="X274" s="12">
        <v>54</v>
      </c>
      <c r="Y274" s="12">
        <f>Table1[[#This Row],[LOAD K.M]]+Table1[[#This Row],[EMPTY K.M]]</f>
        <v>1221</v>
      </c>
      <c r="Z274" s="12">
        <f>Table1[[#This Row],[INVOICE AMOUNT2]]-Table1[[#This Row],[Total Exp.]]</f>
        <v>52478</v>
      </c>
      <c r="AA274" s="12">
        <f>Table1[[#This Row],[Total Exp.]]/Table1[[#This Row],[Total k.m]]</f>
        <v>35.466830466830466</v>
      </c>
      <c r="AB274" s="12">
        <f>Table1[[#This Row],[Profit/loss]]/Table1[[#This Row],[Total k.m]]</f>
        <v>42.979524979524982</v>
      </c>
      <c r="AC274" s="12">
        <f>Table1[[#This Row],[INVOICE AMOUNT2]]/Table1[[#This Row],[Total k.m]]</f>
        <v>78.44635544635544</v>
      </c>
    </row>
    <row r="275" spans="1:29" x14ac:dyDescent="0.3">
      <c r="A275" s="13">
        <v>273</v>
      </c>
      <c r="B275" s="25" t="s">
        <v>533</v>
      </c>
      <c r="C275" s="12" t="s">
        <v>102</v>
      </c>
      <c r="D275" s="61">
        <v>45986</v>
      </c>
      <c r="E275" s="24" t="s">
        <v>531</v>
      </c>
      <c r="F275" s="12" t="s">
        <v>178</v>
      </c>
      <c r="G275" s="12" t="s">
        <v>36</v>
      </c>
      <c r="H275" s="12" t="s">
        <v>229</v>
      </c>
      <c r="I275" s="12">
        <v>6</v>
      </c>
      <c r="J275" s="12">
        <v>102860</v>
      </c>
      <c r="K275" s="21">
        <v>43869</v>
      </c>
      <c r="L275" s="12"/>
      <c r="M275" s="12">
        <v>5000</v>
      </c>
      <c r="N275" s="12"/>
      <c r="O275" s="12"/>
      <c r="P275" s="12">
        <v>2000</v>
      </c>
      <c r="Q275" s="12">
        <v>1000</v>
      </c>
      <c r="R275" s="12"/>
      <c r="S275" s="12"/>
      <c r="T275" s="12"/>
      <c r="U275" s="12">
        <v>2640</v>
      </c>
      <c r="V275" s="12">
        <f t="shared" si="5"/>
        <v>54509</v>
      </c>
      <c r="W275" s="12">
        <v>842</v>
      </c>
      <c r="X275" s="12">
        <v>819</v>
      </c>
      <c r="Y275" s="12">
        <f>Table1[[#This Row],[LOAD K.M]]+Table1[[#This Row],[EMPTY K.M]]</f>
        <v>1661</v>
      </c>
      <c r="Z275" s="12">
        <f>Table1[[#This Row],[INVOICE AMOUNT2]]-Table1[[#This Row],[Total Exp.]]</f>
        <v>48351</v>
      </c>
      <c r="AA275" s="12">
        <f>Table1[[#This Row],[Total Exp.]]/Table1[[#This Row],[Total k.m]]</f>
        <v>32.816977724262493</v>
      </c>
      <c r="AB275" s="12">
        <f>Table1[[#This Row],[Profit/loss]]/Table1[[#This Row],[Total k.m]]</f>
        <v>29.10957254665864</v>
      </c>
      <c r="AC275" s="12">
        <f>Table1[[#This Row],[INVOICE AMOUNT2]]/Table1[[#This Row],[Total k.m]]</f>
        <v>61.926550270921133</v>
      </c>
    </row>
    <row r="276" spans="1:29" x14ac:dyDescent="0.3">
      <c r="A276" s="51">
        <v>274</v>
      </c>
      <c r="B276" s="52" t="s">
        <v>534</v>
      </c>
      <c r="C276" s="12" t="s">
        <v>69</v>
      </c>
      <c r="D276" s="61">
        <v>45986</v>
      </c>
      <c r="E276" s="24" t="s">
        <v>531</v>
      </c>
      <c r="F276" s="12" t="s">
        <v>178</v>
      </c>
      <c r="G276" s="12" t="s">
        <v>36</v>
      </c>
      <c r="H276" s="12" t="s">
        <v>535</v>
      </c>
      <c r="I276" s="12">
        <v>6</v>
      </c>
      <c r="J276" s="12">
        <v>135890</v>
      </c>
      <c r="K276" s="27">
        <v>52962</v>
      </c>
      <c r="L276" s="12"/>
      <c r="M276" s="12">
        <v>5700</v>
      </c>
      <c r="N276" s="12"/>
      <c r="O276" s="12"/>
      <c r="P276" s="12">
        <v>2000</v>
      </c>
      <c r="Q276" s="12">
        <v>1000</v>
      </c>
      <c r="R276" s="12"/>
      <c r="S276" s="12">
        <v>200</v>
      </c>
      <c r="T276" s="12"/>
      <c r="U276" s="12">
        <v>2640</v>
      </c>
      <c r="V276" s="12">
        <f t="shared" si="5"/>
        <v>64502</v>
      </c>
      <c r="W276" s="12">
        <v>1579</v>
      </c>
      <c r="X276" s="12">
        <v>406</v>
      </c>
      <c r="Y276" s="12">
        <f>Table1[[#This Row],[LOAD K.M]]+Table1[[#This Row],[EMPTY K.M]]</f>
        <v>1985</v>
      </c>
      <c r="Z276" s="12">
        <f>Table1[[#This Row],[INVOICE AMOUNT2]]-Table1[[#This Row],[Total Exp.]]</f>
        <v>71388</v>
      </c>
      <c r="AA276" s="12">
        <f>Table1[[#This Row],[Total Exp.]]/Table1[[#This Row],[Total k.m]]</f>
        <v>32.49471032745592</v>
      </c>
      <c r="AB276" s="12">
        <f>Table1[[#This Row],[Profit/loss]]/Table1[[#This Row],[Total k.m]]</f>
        <v>35.963727959697735</v>
      </c>
      <c r="AC276" s="12">
        <f>Table1[[#This Row],[INVOICE AMOUNT2]]/Table1[[#This Row],[Total k.m]]</f>
        <v>68.458438287153655</v>
      </c>
    </row>
    <row r="277" spans="1:29" x14ac:dyDescent="0.3">
      <c r="A277" s="13">
        <v>275</v>
      </c>
      <c r="B277" s="25" t="s">
        <v>536</v>
      </c>
      <c r="C277" s="12" t="s">
        <v>98</v>
      </c>
      <c r="D277" s="61">
        <v>45986</v>
      </c>
      <c r="E277" s="24" t="s">
        <v>531</v>
      </c>
      <c r="F277" s="12" t="s">
        <v>178</v>
      </c>
      <c r="G277" s="12" t="s">
        <v>36</v>
      </c>
      <c r="H277" s="12" t="s">
        <v>154</v>
      </c>
      <c r="I277" s="12">
        <v>6</v>
      </c>
      <c r="J277" s="12">
        <v>142670</v>
      </c>
      <c r="K277" s="21">
        <v>49456</v>
      </c>
      <c r="L277" s="12"/>
      <c r="M277" s="12">
        <v>4000</v>
      </c>
      <c r="N277" s="12"/>
      <c r="O277" s="12"/>
      <c r="P277" s="12">
        <v>2000</v>
      </c>
      <c r="Q277" s="12">
        <v>1000</v>
      </c>
      <c r="R277" s="12"/>
      <c r="S277" s="12"/>
      <c r="T277" s="12"/>
      <c r="U277" s="12">
        <v>2640</v>
      </c>
      <c r="V277" s="12">
        <f t="shared" si="5"/>
        <v>59096</v>
      </c>
      <c r="W277" s="12">
        <v>1428</v>
      </c>
      <c r="X277" s="12">
        <v>434</v>
      </c>
      <c r="Y277" s="12">
        <f>Table1[[#This Row],[LOAD K.M]]+Table1[[#This Row],[EMPTY K.M]]</f>
        <v>1862</v>
      </c>
      <c r="Z277" s="12">
        <f>Table1[[#This Row],[INVOICE AMOUNT2]]-Table1[[#This Row],[Total Exp.]]</f>
        <v>83574</v>
      </c>
      <c r="AA277" s="12">
        <f>Table1[[#This Row],[Total Exp.]]/Table1[[#This Row],[Total k.m]]</f>
        <v>31.737916219119228</v>
      </c>
      <c r="AB277" s="12">
        <f>Table1[[#This Row],[Profit/loss]]/Table1[[#This Row],[Total k.m]]</f>
        <v>44.883995703544578</v>
      </c>
      <c r="AC277" s="12">
        <f>Table1[[#This Row],[INVOICE AMOUNT2]]/Table1[[#This Row],[Total k.m]]</f>
        <v>76.621911922663799</v>
      </c>
    </row>
    <row r="278" spans="1:29" x14ac:dyDescent="0.3">
      <c r="A278" s="51">
        <v>276</v>
      </c>
      <c r="B278" s="25" t="s">
        <v>537</v>
      </c>
      <c r="C278" s="12" t="s">
        <v>34</v>
      </c>
      <c r="D278" s="61">
        <v>45986</v>
      </c>
      <c r="E278" s="24" t="s">
        <v>624</v>
      </c>
      <c r="F278" s="12" t="s">
        <v>65</v>
      </c>
      <c r="G278" s="12" t="s">
        <v>66</v>
      </c>
      <c r="H278" s="12" t="s">
        <v>529</v>
      </c>
      <c r="I278" s="12"/>
      <c r="J278" s="12"/>
      <c r="K278" s="21">
        <v>33927</v>
      </c>
      <c r="L278" s="12"/>
      <c r="M278" s="12">
        <v>4500</v>
      </c>
      <c r="N278" s="12"/>
      <c r="O278" s="12"/>
      <c r="P278" s="12">
        <v>2000</v>
      </c>
      <c r="Q278" s="12">
        <v>1000</v>
      </c>
      <c r="R278" s="12"/>
      <c r="S278" s="12">
        <v>450</v>
      </c>
      <c r="T278" s="12">
        <v>1600</v>
      </c>
      <c r="U278" s="12"/>
      <c r="V278" s="12">
        <f t="shared" si="5"/>
        <v>43477</v>
      </c>
      <c r="W278" s="12">
        <v>876</v>
      </c>
      <c r="X278" s="12">
        <v>372</v>
      </c>
      <c r="Y278" s="12">
        <f>Table1[[#This Row],[LOAD K.M]]+Table1[[#This Row],[EMPTY K.M]]</f>
        <v>1248</v>
      </c>
      <c r="Z278" s="12">
        <f>Table1[[#This Row],[INVOICE AMOUNT2]]-Table1[[#This Row],[Total Exp.]]</f>
        <v>-43477</v>
      </c>
      <c r="AA278" s="12">
        <f>Table1[[#This Row],[Total Exp.]]/Table1[[#This Row],[Total k.m]]</f>
        <v>34.837339743589745</v>
      </c>
      <c r="AB278" s="12">
        <f>Table1[[#This Row],[Profit/loss]]/Table1[[#This Row],[Total k.m]]</f>
        <v>-34.837339743589745</v>
      </c>
      <c r="AC278" s="12">
        <f>Table1[[#This Row],[INVOICE AMOUNT2]]/Table1[[#This Row],[Total k.m]]</f>
        <v>0</v>
      </c>
    </row>
    <row r="279" spans="1:29" x14ac:dyDescent="0.3">
      <c r="A279" s="13">
        <v>277</v>
      </c>
      <c r="B279" s="25" t="s">
        <v>538</v>
      </c>
      <c r="C279" s="12" t="s">
        <v>134</v>
      </c>
      <c r="D279" s="61">
        <v>46381</v>
      </c>
      <c r="E279" s="24" t="s">
        <v>630</v>
      </c>
      <c r="F279" s="12" t="s">
        <v>65</v>
      </c>
      <c r="G279" s="12" t="s">
        <v>66</v>
      </c>
      <c r="H279" s="12" t="s">
        <v>32</v>
      </c>
      <c r="I279" s="12"/>
      <c r="J279" s="12"/>
      <c r="K279" s="21">
        <v>56946</v>
      </c>
      <c r="L279" s="12"/>
      <c r="M279" s="12">
        <v>6000</v>
      </c>
      <c r="N279" s="12"/>
      <c r="O279" s="12"/>
      <c r="P279" s="12">
        <v>2000</v>
      </c>
      <c r="Q279" s="12">
        <v>1000</v>
      </c>
      <c r="R279" s="12"/>
      <c r="S279" s="12">
        <v>130</v>
      </c>
      <c r="T279" s="12"/>
      <c r="U279" s="12">
        <v>2640</v>
      </c>
      <c r="V279" s="12">
        <f t="shared" si="5"/>
        <v>68716</v>
      </c>
      <c r="W279" s="12">
        <v>2018</v>
      </c>
      <c r="X279" s="12">
        <v>40</v>
      </c>
      <c r="Y279" s="12">
        <f>Table1[[#This Row],[LOAD K.M]]+Table1[[#This Row],[EMPTY K.M]]</f>
        <v>2058</v>
      </c>
      <c r="Z279" s="12">
        <f>Table1[[#This Row],[INVOICE AMOUNT2]]-Table1[[#This Row],[Total Exp.]]</f>
        <v>-68716</v>
      </c>
      <c r="AA279" s="12">
        <f>Table1[[#This Row],[Total Exp.]]/Table1[[#This Row],[Total k.m]]</f>
        <v>33.389698736637513</v>
      </c>
      <c r="AB279" s="12">
        <f>Table1[[#This Row],[Profit/loss]]/Table1[[#This Row],[Total k.m]]</f>
        <v>-33.389698736637513</v>
      </c>
      <c r="AC279" s="12">
        <f>Table1[[#This Row],[INVOICE AMOUNT2]]/Table1[[#This Row],[Total k.m]]</f>
        <v>0</v>
      </c>
    </row>
    <row r="280" spans="1:29" x14ac:dyDescent="0.3">
      <c r="A280" s="51">
        <v>278</v>
      </c>
      <c r="B280" s="25" t="s">
        <v>539</v>
      </c>
      <c r="C280" s="12" t="s">
        <v>82</v>
      </c>
      <c r="D280" s="61">
        <v>46381</v>
      </c>
      <c r="E280" s="24" t="s">
        <v>630</v>
      </c>
      <c r="F280" s="12" t="s">
        <v>35</v>
      </c>
      <c r="G280" s="12" t="s">
        <v>36</v>
      </c>
      <c r="H280" s="12" t="s">
        <v>163</v>
      </c>
      <c r="I280" s="12"/>
      <c r="J280" s="12"/>
      <c r="K280" s="21">
        <v>27751</v>
      </c>
      <c r="L280" s="12"/>
      <c r="M280" s="12">
        <v>3500</v>
      </c>
      <c r="N280" s="12"/>
      <c r="O280" s="12"/>
      <c r="P280" s="12">
        <v>2000</v>
      </c>
      <c r="Q280" s="12">
        <v>1000</v>
      </c>
      <c r="R280" s="12"/>
      <c r="S280" s="12">
        <v>200</v>
      </c>
      <c r="T280" s="12"/>
      <c r="U280" s="12"/>
      <c r="V280" s="12">
        <f t="shared" si="5"/>
        <v>34451</v>
      </c>
      <c r="W280" s="12"/>
      <c r="X280" s="12"/>
      <c r="Y280" s="12">
        <f>Table1[[#This Row],[LOAD K.M]]+Table1[[#This Row],[EMPTY K.M]]</f>
        <v>0</v>
      </c>
      <c r="Z280" s="12">
        <f>Table1[[#This Row],[INVOICE AMOUNT2]]-Table1[[#This Row],[Total Exp.]]</f>
        <v>-34451</v>
      </c>
      <c r="AA280" s="12" t="e">
        <f>Table1[[#This Row],[Total Exp.]]/Table1[[#This Row],[Total k.m]]</f>
        <v>#DIV/0!</v>
      </c>
      <c r="AB280" s="12" t="e">
        <f>Table1[[#This Row],[Profit/loss]]/Table1[[#This Row],[Total k.m]]</f>
        <v>#DIV/0!</v>
      </c>
      <c r="AC280" s="12" t="e">
        <f>Table1[[#This Row],[INVOICE AMOUNT2]]/Table1[[#This Row],[Total k.m]]</f>
        <v>#DIV/0!</v>
      </c>
    </row>
    <row r="281" spans="1:29" x14ac:dyDescent="0.3">
      <c r="A281" s="13">
        <v>279</v>
      </c>
      <c r="B281" s="25" t="s">
        <v>540</v>
      </c>
      <c r="C281" s="12" t="s">
        <v>39</v>
      </c>
      <c r="D281" s="61">
        <v>46381</v>
      </c>
      <c r="E281" s="24" t="s">
        <v>630</v>
      </c>
      <c r="F281" s="12" t="s">
        <v>35</v>
      </c>
      <c r="G281" s="12" t="s">
        <v>36</v>
      </c>
      <c r="H281" s="12" t="s">
        <v>138</v>
      </c>
      <c r="I281" s="12"/>
      <c r="J281" s="12"/>
      <c r="K281" s="21">
        <v>50271</v>
      </c>
      <c r="L281" s="12"/>
      <c r="M281" s="12">
        <v>4500</v>
      </c>
      <c r="N281" s="12"/>
      <c r="O281" s="12"/>
      <c r="P281" s="12">
        <v>2000</v>
      </c>
      <c r="Q281" s="12">
        <v>1000</v>
      </c>
      <c r="R281" s="12"/>
      <c r="S281" s="12">
        <v>200</v>
      </c>
      <c r="T281" s="12">
        <v>850</v>
      </c>
      <c r="U281" s="12">
        <v>2640</v>
      </c>
      <c r="V281" s="12">
        <f t="shared" si="5"/>
        <v>61461</v>
      </c>
      <c r="W281" s="12">
        <v>1368</v>
      </c>
      <c r="X281" s="12">
        <v>483</v>
      </c>
      <c r="Y281" s="12">
        <f>Table1[[#This Row],[LOAD K.M]]+Table1[[#This Row],[EMPTY K.M]]</f>
        <v>1851</v>
      </c>
      <c r="Z281" s="12">
        <f>Table1[[#This Row],[INVOICE AMOUNT2]]-Table1[[#This Row],[Total Exp.]]</f>
        <v>-61461</v>
      </c>
      <c r="AA281" s="12">
        <f>Table1[[#This Row],[Total Exp.]]/Table1[[#This Row],[Total k.m]]</f>
        <v>33.204213938411669</v>
      </c>
      <c r="AB281" s="12">
        <f>Table1[[#This Row],[Profit/loss]]/Table1[[#This Row],[Total k.m]]</f>
        <v>-33.204213938411669</v>
      </c>
      <c r="AC281" s="12">
        <f>Table1[[#This Row],[INVOICE AMOUNT2]]/Table1[[#This Row],[Total k.m]]</f>
        <v>0</v>
      </c>
    </row>
    <row r="282" spans="1:29" x14ac:dyDescent="0.3">
      <c r="A282" s="51">
        <v>280</v>
      </c>
      <c r="B282" s="25" t="s">
        <v>541</v>
      </c>
      <c r="C282" s="12" t="s">
        <v>72</v>
      </c>
      <c r="D282" s="61">
        <v>46381</v>
      </c>
      <c r="E282" s="24" t="s">
        <v>632</v>
      </c>
      <c r="F282" s="12" t="s">
        <v>35</v>
      </c>
      <c r="G282" s="12" t="s">
        <v>36</v>
      </c>
      <c r="H282" s="12" t="s">
        <v>281</v>
      </c>
      <c r="I282" s="12"/>
      <c r="J282" s="12"/>
      <c r="K282" s="21">
        <v>61633</v>
      </c>
      <c r="L282" s="12"/>
      <c r="M282" s="12">
        <v>6100</v>
      </c>
      <c r="N282" s="12"/>
      <c r="O282" s="12"/>
      <c r="P282" s="12">
        <v>2000</v>
      </c>
      <c r="Q282" s="12">
        <v>1000</v>
      </c>
      <c r="R282" s="12"/>
      <c r="S282" s="12"/>
      <c r="T282" s="12">
        <v>5600</v>
      </c>
      <c r="U282" s="12">
        <v>2640</v>
      </c>
      <c r="V282" s="12">
        <f t="shared" si="5"/>
        <v>78973</v>
      </c>
      <c r="W282" s="12">
        <v>1552</v>
      </c>
      <c r="X282" s="12">
        <v>734</v>
      </c>
      <c r="Y282" s="12">
        <f>Table1[[#This Row],[LOAD K.M]]+Table1[[#This Row],[EMPTY K.M]]</f>
        <v>2286</v>
      </c>
      <c r="Z282" s="12">
        <f>Table1[[#This Row],[INVOICE AMOUNT2]]-Table1[[#This Row],[Total Exp.]]</f>
        <v>-78973</v>
      </c>
      <c r="AA282" s="12">
        <f>Table1[[#This Row],[Total Exp.]]/Table1[[#This Row],[Total k.m]]</f>
        <v>34.546369203849515</v>
      </c>
      <c r="AB282" s="12">
        <f>Table1[[#This Row],[Profit/loss]]/Table1[[#This Row],[Total k.m]]</f>
        <v>-34.546369203849515</v>
      </c>
      <c r="AC282" s="12">
        <f>Table1[[#This Row],[INVOICE AMOUNT2]]/Table1[[#This Row],[Total k.m]]</f>
        <v>0</v>
      </c>
    </row>
    <row r="283" spans="1:29" x14ac:dyDescent="0.3">
      <c r="A283" s="13">
        <v>281</v>
      </c>
      <c r="B283" s="25" t="s">
        <v>542</v>
      </c>
      <c r="C283" s="12" t="s">
        <v>29</v>
      </c>
      <c r="D283" s="61">
        <v>46381</v>
      </c>
      <c r="E283" s="24" t="s">
        <v>624</v>
      </c>
      <c r="F283" s="12" t="s">
        <v>35</v>
      </c>
      <c r="G283" s="12" t="s">
        <v>631</v>
      </c>
      <c r="H283" s="12" t="s">
        <v>326</v>
      </c>
      <c r="I283" s="12"/>
      <c r="J283" s="12"/>
      <c r="K283" s="21">
        <v>33744</v>
      </c>
      <c r="L283" s="12"/>
      <c r="M283" s="12">
        <v>5000</v>
      </c>
      <c r="N283" s="12"/>
      <c r="O283" s="12">
        <v>800</v>
      </c>
      <c r="P283" s="12">
        <v>2000</v>
      </c>
      <c r="Q283" s="12">
        <v>1000</v>
      </c>
      <c r="R283" s="12"/>
      <c r="S283" s="12"/>
      <c r="T283" s="12"/>
      <c r="U283" s="12">
        <v>1676</v>
      </c>
      <c r="V283" s="12">
        <f t="shared" si="5"/>
        <v>44220</v>
      </c>
      <c r="W283" s="12">
        <v>801</v>
      </c>
      <c r="X283" s="12">
        <v>495</v>
      </c>
      <c r="Y283" s="12">
        <f>Table1[[#This Row],[LOAD K.M]]+Table1[[#This Row],[EMPTY K.M]]</f>
        <v>1296</v>
      </c>
      <c r="Z283" s="12">
        <f>Table1[[#This Row],[INVOICE AMOUNT2]]-Table1[[#This Row],[Total Exp.]]</f>
        <v>-44220</v>
      </c>
      <c r="AA283" s="12">
        <f>Table1[[#This Row],[Total Exp.]]/Table1[[#This Row],[Total k.m]]</f>
        <v>34.120370370370374</v>
      </c>
      <c r="AB283" s="12">
        <f>Table1[[#This Row],[Profit/loss]]/Table1[[#This Row],[Total k.m]]</f>
        <v>-34.120370370370374</v>
      </c>
      <c r="AC283" s="12">
        <f>Table1[[#This Row],[INVOICE AMOUNT2]]/Table1[[#This Row],[Total k.m]]</f>
        <v>0</v>
      </c>
    </row>
    <row r="284" spans="1:29" x14ac:dyDescent="0.3">
      <c r="A284" s="51">
        <v>282</v>
      </c>
      <c r="B284" s="25" t="s">
        <v>543</v>
      </c>
      <c r="C284" s="13" t="s">
        <v>87</v>
      </c>
      <c r="D284" s="61">
        <v>46381</v>
      </c>
      <c r="E284" s="11" t="s">
        <v>632</v>
      </c>
      <c r="F284" s="13" t="s">
        <v>178</v>
      </c>
      <c r="G284" s="13" t="s">
        <v>228</v>
      </c>
      <c r="H284" s="13" t="s">
        <v>99</v>
      </c>
      <c r="I284" s="13"/>
      <c r="J284" s="13"/>
      <c r="K284" s="27">
        <v>46274</v>
      </c>
      <c r="L284" s="13"/>
      <c r="M284" s="13">
        <v>4500</v>
      </c>
      <c r="N284" s="13"/>
      <c r="O284" s="13"/>
      <c r="P284" s="13">
        <v>2000</v>
      </c>
      <c r="Q284" s="13">
        <v>1000</v>
      </c>
      <c r="R284" s="13"/>
      <c r="S284" s="13">
        <v>400</v>
      </c>
      <c r="T284" s="13"/>
      <c r="U284" s="13">
        <v>1320</v>
      </c>
      <c r="V284" s="13">
        <f t="shared" si="5"/>
        <v>55494</v>
      </c>
      <c r="W284" s="13">
        <v>1644</v>
      </c>
      <c r="X284" s="13">
        <v>38</v>
      </c>
      <c r="Y284" s="13">
        <f>Table1[[#This Row],[LOAD K.M]]+Table1[[#This Row],[EMPTY K.M]]</f>
        <v>1682</v>
      </c>
      <c r="Z284" s="13">
        <f>Table1[[#This Row],[INVOICE AMOUNT2]]-Table1[[#This Row],[Total Exp.]]</f>
        <v>-55494</v>
      </c>
      <c r="AA284" s="13">
        <f>Table1[[#This Row],[Total Exp.]]/Table1[[#This Row],[Total k.m]]</f>
        <v>32.992865636147442</v>
      </c>
      <c r="AB284" s="13">
        <f>Table1[[#This Row],[Profit/loss]]/Table1[[#This Row],[Total k.m]]</f>
        <v>-32.992865636147442</v>
      </c>
      <c r="AC284" s="12">
        <f>Table1[[#This Row],[INVOICE AMOUNT2]]/Table1[[#This Row],[Total k.m]]</f>
        <v>0</v>
      </c>
    </row>
    <row r="285" spans="1:29" x14ac:dyDescent="0.3">
      <c r="A285" s="13">
        <v>283</v>
      </c>
      <c r="B285" s="25" t="s">
        <v>544</v>
      </c>
      <c r="C285" s="12" t="s">
        <v>93</v>
      </c>
      <c r="D285" s="61">
        <v>46381</v>
      </c>
      <c r="E285" s="24" t="s">
        <v>632</v>
      </c>
      <c r="F285" s="12" t="s">
        <v>178</v>
      </c>
      <c r="G285" s="12" t="s">
        <v>228</v>
      </c>
      <c r="H285" s="12" t="s">
        <v>373</v>
      </c>
      <c r="I285" s="12"/>
      <c r="J285" s="12"/>
      <c r="K285" s="21">
        <v>40232</v>
      </c>
      <c r="L285" s="12"/>
      <c r="M285" s="12">
        <v>4500</v>
      </c>
      <c r="N285" s="12"/>
      <c r="O285" s="12"/>
      <c r="P285" s="12">
        <v>2000</v>
      </c>
      <c r="Q285" s="12">
        <v>1000</v>
      </c>
      <c r="R285" s="12"/>
      <c r="S285" s="12">
        <v>200</v>
      </c>
      <c r="T285" s="12">
        <v>850</v>
      </c>
      <c r="U285" s="12"/>
      <c r="V285" s="12">
        <f t="shared" si="5"/>
        <v>48782</v>
      </c>
      <c r="W285" s="12">
        <v>1150</v>
      </c>
      <c r="X285" s="12">
        <v>330</v>
      </c>
      <c r="Y285" s="12">
        <f>Table1[[#This Row],[LOAD K.M]]+Table1[[#This Row],[EMPTY K.M]]</f>
        <v>1480</v>
      </c>
      <c r="Z285" s="12">
        <f>Table1[[#This Row],[INVOICE AMOUNT2]]-Table1[[#This Row],[Total Exp.]]</f>
        <v>-48782</v>
      </c>
      <c r="AA285" s="12">
        <f>Table1[[#This Row],[Total Exp.]]/Table1[[#This Row],[Total k.m]]</f>
        <v>32.960810810810813</v>
      </c>
      <c r="AB285" s="12">
        <f>Table1[[#This Row],[Profit/loss]]/Table1[[#This Row],[Total k.m]]</f>
        <v>-32.960810810810813</v>
      </c>
      <c r="AC285" s="12">
        <f>Table1[[#This Row],[INVOICE AMOUNT2]]/Table1[[#This Row],[Total k.m]]</f>
        <v>0</v>
      </c>
    </row>
    <row r="286" spans="1:29" x14ac:dyDescent="0.3">
      <c r="A286" s="51">
        <v>284</v>
      </c>
      <c r="B286" s="25" t="s">
        <v>545</v>
      </c>
      <c r="C286" s="12" t="s">
        <v>59</v>
      </c>
      <c r="D286" s="61">
        <v>46381</v>
      </c>
      <c r="E286" s="24" t="s">
        <v>632</v>
      </c>
      <c r="F286" s="12" t="s">
        <v>178</v>
      </c>
      <c r="G286" s="12" t="s">
        <v>228</v>
      </c>
      <c r="H286" s="12" t="s">
        <v>633</v>
      </c>
      <c r="I286" s="12"/>
      <c r="J286" s="12"/>
      <c r="K286" s="21">
        <v>38579</v>
      </c>
      <c r="L286" s="12"/>
      <c r="M286" s="12">
        <v>6500</v>
      </c>
      <c r="N286" s="12"/>
      <c r="O286" s="12"/>
      <c r="P286" s="12">
        <v>2000</v>
      </c>
      <c r="Q286" s="12">
        <v>1000</v>
      </c>
      <c r="R286" s="12"/>
      <c r="S286" s="12"/>
      <c r="T286" s="12"/>
      <c r="U286" s="12">
        <v>2640</v>
      </c>
      <c r="V286" s="12">
        <f t="shared" si="5"/>
        <v>50719</v>
      </c>
      <c r="W286" s="12">
        <v>1398</v>
      </c>
      <c r="X286" s="12"/>
      <c r="Y286" s="12">
        <f>Table1[[#This Row],[LOAD K.M]]+Table1[[#This Row],[EMPTY K.M]]</f>
        <v>1398</v>
      </c>
      <c r="Z286" s="12">
        <f>Table1[[#This Row],[INVOICE AMOUNT2]]-Table1[[#This Row],[Total Exp.]]</f>
        <v>-50719</v>
      </c>
      <c r="AA286" s="12">
        <f>Table1[[#This Row],[Total Exp.]]/Table1[[#This Row],[Total k.m]]</f>
        <v>36.279685264663804</v>
      </c>
      <c r="AB286" s="12">
        <f>Table1[[#This Row],[Profit/loss]]/Table1[[#This Row],[Total k.m]]</f>
        <v>-36.279685264663804</v>
      </c>
      <c r="AC286" s="12">
        <f>Table1[[#This Row],[INVOICE AMOUNT2]]/Table1[[#This Row],[Total k.m]]</f>
        <v>0</v>
      </c>
    </row>
    <row r="287" spans="1:29" x14ac:dyDescent="0.3">
      <c r="A287" s="13">
        <v>285</v>
      </c>
      <c r="B287" s="25" t="s">
        <v>546</v>
      </c>
      <c r="C287" s="12" t="s">
        <v>75</v>
      </c>
      <c r="D287" s="61">
        <v>46381</v>
      </c>
      <c r="E287" s="24" t="s">
        <v>632</v>
      </c>
      <c r="F287" s="12" t="s">
        <v>178</v>
      </c>
      <c r="G287" s="12" t="s">
        <v>228</v>
      </c>
      <c r="H287" s="12" t="s">
        <v>197</v>
      </c>
      <c r="I287" s="12"/>
      <c r="J287" s="12"/>
      <c r="K287" s="21">
        <v>34935</v>
      </c>
      <c r="L287" s="12"/>
      <c r="M287" s="12">
        <v>3500</v>
      </c>
      <c r="N287" s="12"/>
      <c r="O287" s="12"/>
      <c r="P287" s="12">
        <v>2000</v>
      </c>
      <c r="Q287" s="12">
        <v>1000</v>
      </c>
      <c r="R287" s="12"/>
      <c r="S287" s="12">
        <v>200</v>
      </c>
      <c r="T287" s="12"/>
      <c r="U287" s="12">
        <v>1320</v>
      </c>
      <c r="V287" s="12">
        <f t="shared" si="5"/>
        <v>42955</v>
      </c>
      <c r="W287" s="12">
        <v>962</v>
      </c>
      <c r="X287" s="12">
        <v>335</v>
      </c>
      <c r="Y287" s="12">
        <f>Table1[[#This Row],[LOAD K.M]]+Table1[[#This Row],[EMPTY K.M]]</f>
        <v>1297</v>
      </c>
      <c r="Z287" s="12">
        <f>Table1[[#This Row],[INVOICE AMOUNT2]]-Table1[[#This Row],[Total Exp.]]</f>
        <v>-42955</v>
      </c>
      <c r="AA287" s="12">
        <f>Table1[[#This Row],[Total Exp.]]/Table1[[#This Row],[Total k.m]]</f>
        <v>33.118735543562067</v>
      </c>
      <c r="AB287" s="12">
        <f>Table1[[#This Row],[Profit/loss]]/Table1[[#This Row],[Total k.m]]</f>
        <v>-33.118735543562067</v>
      </c>
      <c r="AC287" s="12">
        <f>Table1[[#This Row],[INVOICE AMOUNT2]]/Table1[[#This Row],[Total k.m]]</f>
        <v>0</v>
      </c>
    </row>
    <row r="288" spans="1:29" x14ac:dyDescent="0.3">
      <c r="A288" s="51">
        <v>286</v>
      </c>
      <c r="B288" s="25" t="s">
        <v>547</v>
      </c>
      <c r="C288" s="12" t="s">
        <v>69</v>
      </c>
      <c r="D288" s="61">
        <v>46381</v>
      </c>
      <c r="E288" s="24" t="s">
        <v>632</v>
      </c>
      <c r="F288" s="12" t="s">
        <v>99</v>
      </c>
      <c r="G288" s="12" t="s">
        <v>631</v>
      </c>
      <c r="H288" s="12" t="s">
        <v>326</v>
      </c>
      <c r="I288" s="12"/>
      <c r="J288" s="12"/>
      <c r="K288" s="27">
        <v>34416</v>
      </c>
      <c r="L288" s="12"/>
      <c r="M288" s="12">
        <v>5000</v>
      </c>
      <c r="N288" s="12"/>
      <c r="O288" s="12"/>
      <c r="P288" s="12">
        <v>2000</v>
      </c>
      <c r="Q288" s="12">
        <v>1000</v>
      </c>
      <c r="R288" s="12"/>
      <c r="S288" s="12"/>
      <c r="T288" s="12"/>
      <c r="U288" s="12"/>
      <c r="V288" s="12">
        <f t="shared" si="5"/>
        <v>42416</v>
      </c>
      <c r="W288" s="12">
        <v>822</v>
      </c>
      <c r="X288" s="12">
        <v>491</v>
      </c>
      <c r="Y288" s="12">
        <f>Table1[[#This Row],[LOAD K.M]]+Table1[[#This Row],[EMPTY K.M]]</f>
        <v>1313</v>
      </c>
      <c r="Z288" s="12">
        <f>Table1[[#This Row],[INVOICE AMOUNT2]]-Table1[[#This Row],[Total Exp.]]</f>
        <v>-42416</v>
      </c>
      <c r="AA288" s="12">
        <f>Table1[[#This Row],[Total Exp.]]/Table1[[#This Row],[Total k.m]]</f>
        <v>32.304645849200305</v>
      </c>
      <c r="AB288" s="12">
        <f>Table1[[#This Row],[Profit/loss]]/Table1[[#This Row],[Total k.m]]</f>
        <v>-32.304645849200305</v>
      </c>
      <c r="AC288" s="12">
        <f>Table1[[#This Row],[INVOICE AMOUNT2]]/Table1[[#This Row],[Total k.m]]</f>
        <v>0</v>
      </c>
    </row>
    <row r="289" spans="1:29" x14ac:dyDescent="0.3">
      <c r="A289" s="13">
        <v>287</v>
      </c>
      <c r="B289" s="25" t="s">
        <v>548</v>
      </c>
      <c r="C289" s="12" t="s">
        <v>95</v>
      </c>
      <c r="D289" s="61">
        <v>46381</v>
      </c>
      <c r="E289" s="24" t="s">
        <v>632</v>
      </c>
      <c r="F289" s="12" t="s">
        <v>35</v>
      </c>
      <c r="G289" s="12" t="s">
        <v>250</v>
      </c>
      <c r="H289" s="12" t="s">
        <v>635</v>
      </c>
      <c r="I289" s="12"/>
      <c r="J289" s="12"/>
      <c r="K289" s="21">
        <v>32739</v>
      </c>
      <c r="L289" s="12"/>
      <c r="M289" s="12">
        <v>1500</v>
      </c>
      <c r="N289" s="12"/>
      <c r="O289" s="12"/>
      <c r="P289" s="12">
        <v>2000</v>
      </c>
      <c r="Q289" s="12">
        <v>1000</v>
      </c>
      <c r="R289" s="12"/>
      <c r="S289" s="12">
        <v>1000</v>
      </c>
      <c r="T289" s="12"/>
      <c r="U289" s="12">
        <v>2640</v>
      </c>
      <c r="V289" s="12">
        <f t="shared" si="5"/>
        <v>40879</v>
      </c>
      <c r="W289" s="12">
        <v>866</v>
      </c>
      <c r="X289" s="12">
        <v>359</v>
      </c>
      <c r="Y289" s="12">
        <f>Table1[[#This Row],[LOAD K.M]]+Table1[[#This Row],[EMPTY K.M]]</f>
        <v>1225</v>
      </c>
      <c r="Z289" s="12">
        <f>Table1[[#This Row],[INVOICE AMOUNT2]]-Table1[[#This Row],[Total Exp.]]</f>
        <v>-40879</v>
      </c>
      <c r="AA289" s="12">
        <f>Table1[[#This Row],[Total Exp.]]/Table1[[#This Row],[Total k.m]]</f>
        <v>33.370612244897956</v>
      </c>
      <c r="AB289" s="12">
        <f>Table1[[#This Row],[Profit/loss]]/Table1[[#This Row],[Total k.m]]</f>
        <v>-33.370612244897956</v>
      </c>
      <c r="AC289" s="12">
        <f>Table1[[#This Row],[INVOICE AMOUNT2]]/Table1[[#This Row],[Total k.m]]</f>
        <v>0</v>
      </c>
    </row>
    <row r="290" spans="1:29" x14ac:dyDescent="0.3">
      <c r="A290" s="51">
        <v>288</v>
      </c>
      <c r="B290" s="58" t="s">
        <v>549</v>
      </c>
      <c r="C290" s="12" t="s">
        <v>46</v>
      </c>
      <c r="D290" s="61">
        <v>46381</v>
      </c>
      <c r="E290" s="24" t="s">
        <v>642</v>
      </c>
      <c r="F290" s="12" t="s">
        <v>178</v>
      </c>
      <c r="G290" s="12" t="s">
        <v>196</v>
      </c>
      <c r="H290" s="12" t="s">
        <v>138</v>
      </c>
      <c r="I290" s="12"/>
      <c r="J290" s="12"/>
      <c r="K290" s="21">
        <v>55138</v>
      </c>
      <c r="L290" s="12"/>
      <c r="M290" s="12">
        <v>4500</v>
      </c>
      <c r="N290" s="12"/>
      <c r="O290" s="12">
        <v>1320</v>
      </c>
      <c r="P290" s="12">
        <v>2000</v>
      </c>
      <c r="Q290" s="12">
        <v>1000</v>
      </c>
      <c r="R290" s="12"/>
      <c r="S290" s="12"/>
      <c r="T290" s="12">
        <v>850</v>
      </c>
      <c r="U290" s="12">
        <v>2640</v>
      </c>
      <c r="V290" s="12">
        <f t="shared" si="5"/>
        <v>67448</v>
      </c>
      <c r="W290" s="12">
        <v>1549</v>
      </c>
      <c r="X290" s="12">
        <v>481</v>
      </c>
      <c r="Y290" s="12">
        <f>Table1[[#This Row],[LOAD K.M]]+Table1[[#This Row],[EMPTY K.M]]</f>
        <v>2030</v>
      </c>
      <c r="Z290" s="12">
        <f>Table1[[#This Row],[INVOICE AMOUNT2]]-Table1[[#This Row],[Total Exp.]]</f>
        <v>-67448</v>
      </c>
      <c r="AA290" s="12">
        <f>Table1[[#This Row],[Total Exp.]]/Table1[[#This Row],[Total k.m]]</f>
        <v>33.225615763546799</v>
      </c>
      <c r="AB290" s="12">
        <f>Table1[[#This Row],[Profit/loss]]/Table1[[#This Row],[Total k.m]]</f>
        <v>-33.225615763546799</v>
      </c>
      <c r="AC290" s="12">
        <f>Table1[[#This Row],[INVOICE AMOUNT2]]/Table1[[#This Row],[Total k.m]]</f>
        <v>0</v>
      </c>
    </row>
    <row r="291" spans="1:29" x14ac:dyDescent="0.3">
      <c r="A291" s="13">
        <v>289</v>
      </c>
      <c r="B291" s="25" t="s">
        <v>550</v>
      </c>
      <c r="C291" s="12" t="s">
        <v>84</v>
      </c>
      <c r="D291" s="61">
        <v>46381</v>
      </c>
      <c r="E291" s="24" t="s">
        <v>642</v>
      </c>
      <c r="F291" s="12" t="s">
        <v>178</v>
      </c>
      <c r="G291" s="12" t="s">
        <v>228</v>
      </c>
      <c r="H291" s="12" t="s">
        <v>355</v>
      </c>
      <c r="I291" s="12"/>
      <c r="J291" s="12"/>
      <c r="K291" s="21">
        <v>44930</v>
      </c>
      <c r="L291" s="12"/>
      <c r="M291" s="12">
        <v>6500</v>
      </c>
      <c r="N291" s="12"/>
      <c r="O291" s="12"/>
      <c r="P291" s="12">
        <v>2000</v>
      </c>
      <c r="Q291" s="12">
        <v>1000</v>
      </c>
      <c r="R291" s="12"/>
      <c r="S291" s="12">
        <v>900</v>
      </c>
      <c r="T291" s="12"/>
      <c r="U291" s="12">
        <v>1290</v>
      </c>
      <c r="V291" s="12">
        <f t="shared" si="5"/>
        <v>56620</v>
      </c>
      <c r="W291" s="12">
        <v>1097</v>
      </c>
      <c r="X291" s="12">
        <v>593</v>
      </c>
      <c r="Y291" s="12">
        <f>Table1[[#This Row],[LOAD K.M]]+Table1[[#This Row],[EMPTY K.M]]</f>
        <v>1690</v>
      </c>
      <c r="Z291" s="12">
        <f>Table1[[#This Row],[INVOICE AMOUNT2]]-Table1[[#This Row],[Total Exp.]]</f>
        <v>-56620</v>
      </c>
      <c r="AA291" s="12">
        <f>Table1[[#This Row],[Total Exp.]]/Table1[[#This Row],[Total k.m]]</f>
        <v>33.502958579881657</v>
      </c>
      <c r="AB291" s="12">
        <f>Table1[[#This Row],[Profit/loss]]/Table1[[#This Row],[Total k.m]]</f>
        <v>-33.502958579881657</v>
      </c>
      <c r="AC291" s="12">
        <f>Table1[[#This Row],[INVOICE AMOUNT2]]/Table1[[#This Row],[Total k.m]]</f>
        <v>0</v>
      </c>
    </row>
    <row r="292" spans="1:29" x14ac:dyDescent="0.3">
      <c r="A292" s="51">
        <v>290</v>
      </c>
      <c r="B292" s="25" t="s">
        <v>551</v>
      </c>
      <c r="C292" s="12" t="s">
        <v>63</v>
      </c>
      <c r="D292" s="61">
        <v>46381</v>
      </c>
      <c r="E292" s="24" t="s">
        <v>642</v>
      </c>
      <c r="F292" s="12" t="s">
        <v>178</v>
      </c>
      <c r="G292" s="12" t="s">
        <v>228</v>
      </c>
      <c r="H292" s="12" t="s">
        <v>229</v>
      </c>
      <c r="I292" s="12"/>
      <c r="J292" s="12"/>
      <c r="K292" s="21">
        <v>41028</v>
      </c>
      <c r="L292" s="12"/>
      <c r="M292" s="12">
        <v>5000</v>
      </c>
      <c r="N292" s="12"/>
      <c r="O292" s="12"/>
      <c r="P292" s="12">
        <v>2000</v>
      </c>
      <c r="Q292" s="12">
        <v>1000</v>
      </c>
      <c r="R292" s="12"/>
      <c r="S292" s="12">
        <v>800</v>
      </c>
      <c r="T292" s="12"/>
      <c r="U292" s="12">
        <v>1320</v>
      </c>
      <c r="V292" s="12">
        <f t="shared" si="5"/>
        <v>51148</v>
      </c>
      <c r="W292" s="12">
        <v>781</v>
      </c>
      <c r="X292" s="12">
        <v>774</v>
      </c>
      <c r="Y292" s="12">
        <f>Table1[[#This Row],[LOAD K.M]]+Table1[[#This Row],[EMPTY K.M]]</f>
        <v>1555</v>
      </c>
      <c r="Z292" s="12">
        <f>Table1[[#This Row],[INVOICE AMOUNT2]]-Table1[[#This Row],[Total Exp.]]</f>
        <v>-51148</v>
      </c>
      <c r="AA292" s="12">
        <f>Table1[[#This Row],[Total Exp.]]/Table1[[#This Row],[Total k.m]]</f>
        <v>32.892604501607714</v>
      </c>
      <c r="AB292" s="12">
        <f>Table1[[#This Row],[Profit/loss]]/Table1[[#This Row],[Total k.m]]</f>
        <v>-32.892604501607714</v>
      </c>
      <c r="AC292" s="12">
        <f>Table1[[#This Row],[INVOICE AMOUNT2]]/Table1[[#This Row],[Total k.m]]</f>
        <v>0</v>
      </c>
    </row>
    <row r="293" spans="1:29" x14ac:dyDescent="0.3">
      <c r="A293" s="69">
        <v>291</v>
      </c>
      <c r="B293" s="70" t="s">
        <v>552</v>
      </c>
      <c r="C293" s="69" t="s">
        <v>69</v>
      </c>
      <c r="D293" s="71">
        <v>46381</v>
      </c>
      <c r="E293" s="72" t="s">
        <v>642</v>
      </c>
      <c r="F293" s="69" t="s">
        <v>35</v>
      </c>
      <c r="G293" s="69" t="s">
        <v>36</v>
      </c>
      <c r="H293" s="69" t="s">
        <v>125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>
        <f t="shared" si="5"/>
        <v>0</v>
      </c>
      <c r="W293" s="12"/>
      <c r="X293" s="12"/>
      <c r="Y293" s="12">
        <f>Table1[[#This Row],[LOAD K.M]]+Table1[[#This Row],[EMPTY K.M]]</f>
        <v>0</v>
      </c>
      <c r="Z293" s="12">
        <f>Table1[[#This Row],[INVOICE AMOUNT2]]-Table1[[#This Row],[Total Exp.]]</f>
        <v>0</v>
      </c>
      <c r="AA293" s="12" t="e">
        <f>Table1[[#This Row],[Total Exp.]]/Table1[[#This Row],[Total k.m]]</f>
        <v>#DIV/0!</v>
      </c>
      <c r="AB293" s="12" t="e">
        <f>Table1[[#This Row],[Profit/loss]]/Table1[[#This Row],[Total k.m]]</f>
        <v>#DIV/0!</v>
      </c>
      <c r="AC293" s="12" t="e">
        <f>Table1[[#This Row],[INVOICE AMOUNT2]]/Table1[[#This Row],[Total k.m]]</f>
        <v>#DIV/0!</v>
      </c>
    </row>
    <row r="294" spans="1:29" x14ac:dyDescent="0.3">
      <c r="A294" s="51">
        <v>292</v>
      </c>
      <c r="B294" s="25" t="s">
        <v>553</v>
      </c>
      <c r="C294" s="12" t="s">
        <v>34</v>
      </c>
      <c r="D294" s="61">
        <v>46381</v>
      </c>
      <c r="E294" s="24" t="s">
        <v>642</v>
      </c>
      <c r="F294" s="12" t="s">
        <v>35</v>
      </c>
      <c r="G294" s="12" t="s">
        <v>36</v>
      </c>
      <c r="H294" s="12" t="s">
        <v>66</v>
      </c>
      <c r="I294" s="12"/>
      <c r="J294" s="12"/>
      <c r="K294" s="21">
        <v>35554</v>
      </c>
      <c r="L294" s="12"/>
      <c r="M294" s="12">
        <v>5500</v>
      </c>
      <c r="N294" s="12"/>
      <c r="O294" s="12"/>
      <c r="P294" s="12">
        <v>2000</v>
      </c>
      <c r="Q294" s="12">
        <v>1000</v>
      </c>
      <c r="R294" s="12"/>
      <c r="S294" s="12">
        <v>800</v>
      </c>
      <c r="T294" s="12"/>
      <c r="U294" s="12">
        <v>2640</v>
      </c>
      <c r="V294" s="12">
        <f t="shared" si="5"/>
        <v>47494</v>
      </c>
      <c r="W294" s="12">
        <v>1230</v>
      </c>
      <c r="X294" s="12">
        <v>72</v>
      </c>
      <c r="Y294" s="12">
        <f>Table1[[#This Row],[LOAD K.M]]+Table1[[#This Row],[EMPTY K.M]]</f>
        <v>1302</v>
      </c>
      <c r="Z294" s="12">
        <f>Table1[[#This Row],[INVOICE AMOUNT2]]-Table1[[#This Row],[Total Exp.]]</f>
        <v>-47494</v>
      </c>
      <c r="AA294" s="12">
        <f>Table1[[#This Row],[Total Exp.]]/Table1[[#This Row],[Total k.m]]</f>
        <v>36.477726574500771</v>
      </c>
      <c r="AB294" s="12">
        <f>Table1[[#This Row],[Profit/loss]]/Table1[[#This Row],[Total k.m]]</f>
        <v>-36.477726574500771</v>
      </c>
      <c r="AC294" s="12">
        <f>Table1[[#This Row],[INVOICE AMOUNT2]]/Table1[[#This Row],[Total k.m]]</f>
        <v>0</v>
      </c>
    </row>
    <row r="295" spans="1:29" x14ac:dyDescent="0.3">
      <c r="A295" s="13">
        <v>293</v>
      </c>
      <c r="B295" s="25" t="s">
        <v>554</v>
      </c>
      <c r="C295" s="12" t="s">
        <v>29</v>
      </c>
      <c r="D295" s="61">
        <v>46381</v>
      </c>
      <c r="E295" s="24" t="s">
        <v>642</v>
      </c>
      <c r="F295" s="12" t="s">
        <v>35</v>
      </c>
      <c r="G295" s="12" t="s">
        <v>250</v>
      </c>
      <c r="H295" s="12" t="s">
        <v>88</v>
      </c>
      <c r="I295" s="12"/>
      <c r="J295" s="12"/>
      <c r="K295" s="21">
        <v>6793</v>
      </c>
      <c r="L295" s="12"/>
      <c r="M295" s="12"/>
      <c r="N295" s="12"/>
      <c r="O295" s="12"/>
      <c r="P295" s="12">
        <v>2000</v>
      </c>
      <c r="Q295" s="12">
        <v>1000</v>
      </c>
      <c r="R295" s="12"/>
      <c r="S295" s="12">
        <v>200</v>
      </c>
      <c r="T295" s="12"/>
      <c r="U295" s="12"/>
      <c r="V295" s="12">
        <f t="shared" si="5"/>
        <v>9993</v>
      </c>
      <c r="W295" s="12">
        <v>135</v>
      </c>
      <c r="X295" s="12">
        <v>123</v>
      </c>
      <c r="Y295" s="12">
        <f>Table1[[#This Row],[LOAD K.M]]+Table1[[#This Row],[EMPTY K.M]]</f>
        <v>258</v>
      </c>
      <c r="Z295" s="12">
        <f>Table1[[#This Row],[INVOICE AMOUNT2]]-Table1[[#This Row],[Total Exp.]]</f>
        <v>-9993</v>
      </c>
      <c r="AA295" s="12">
        <f>Table1[[#This Row],[Total Exp.]]/Table1[[#This Row],[Total k.m]]</f>
        <v>38.732558139534881</v>
      </c>
      <c r="AB295" s="12">
        <f>Table1[[#This Row],[Profit/loss]]/Table1[[#This Row],[Total k.m]]</f>
        <v>-38.732558139534881</v>
      </c>
      <c r="AC295" s="12">
        <f>Table1[[#This Row],[INVOICE AMOUNT2]]/Table1[[#This Row],[Total k.m]]</f>
        <v>0</v>
      </c>
    </row>
    <row r="296" spans="1:29" x14ac:dyDescent="0.3">
      <c r="A296" s="51">
        <v>294</v>
      </c>
      <c r="B296" s="25" t="s">
        <v>555</v>
      </c>
      <c r="C296" s="12" t="s">
        <v>77</v>
      </c>
      <c r="D296" s="61">
        <v>46381</v>
      </c>
      <c r="E296" s="24" t="s">
        <v>643</v>
      </c>
      <c r="F296" s="12" t="s">
        <v>35</v>
      </c>
      <c r="G296" s="12" t="s">
        <v>250</v>
      </c>
      <c r="H296" s="12" t="s">
        <v>644</v>
      </c>
      <c r="I296" s="12"/>
      <c r="J296" s="12"/>
      <c r="K296" s="21">
        <v>88014</v>
      </c>
      <c r="L296" s="12"/>
      <c r="M296" s="12">
        <v>8600</v>
      </c>
      <c r="N296" s="12"/>
      <c r="O296" s="12"/>
      <c r="P296" s="12">
        <v>2000</v>
      </c>
      <c r="Q296" s="12">
        <v>1000</v>
      </c>
      <c r="R296" s="12"/>
      <c r="S296" s="12">
        <v>1400</v>
      </c>
      <c r="T296" s="12">
        <v>4450</v>
      </c>
      <c r="U296" s="12">
        <v>2640</v>
      </c>
      <c r="V296" s="12">
        <f t="shared" si="5"/>
        <v>108104</v>
      </c>
      <c r="W296" s="12">
        <v>2470</v>
      </c>
      <c r="X296" s="12">
        <v>772</v>
      </c>
      <c r="Y296" s="12">
        <f>Table1[[#This Row],[LOAD K.M]]+Table1[[#This Row],[EMPTY K.M]]</f>
        <v>3242</v>
      </c>
      <c r="Z296" s="12">
        <f>Table1[[#This Row],[INVOICE AMOUNT2]]-Table1[[#This Row],[Total Exp.]]</f>
        <v>-108104</v>
      </c>
      <c r="AA296" s="12">
        <f>Table1[[#This Row],[Total Exp.]]/Table1[[#This Row],[Total k.m]]</f>
        <v>33.344848858729179</v>
      </c>
      <c r="AB296" s="12">
        <f>Table1[[#This Row],[Profit/loss]]/Table1[[#This Row],[Total k.m]]</f>
        <v>-33.344848858729179</v>
      </c>
      <c r="AC296" s="12">
        <f>Table1[[#This Row],[INVOICE AMOUNT2]]/Table1[[#This Row],[Total k.m]]</f>
        <v>0</v>
      </c>
    </row>
    <row r="297" spans="1:29" x14ac:dyDescent="0.3">
      <c r="A297" s="13">
        <v>295</v>
      </c>
      <c r="B297" s="25" t="s">
        <v>556</v>
      </c>
      <c r="C297" s="12" t="s">
        <v>102</v>
      </c>
      <c r="D297" s="61">
        <v>46381</v>
      </c>
      <c r="E297" s="24" t="s">
        <v>643</v>
      </c>
      <c r="F297" s="12" t="s">
        <v>178</v>
      </c>
      <c r="G297" s="12" t="s">
        <v>228</v>
      </c>
      <c r="H297" s="12" t="s">
        <v>85</v>
      </c>
      <c r="I297" s="12"/>
      <c r="J297" s="12"/>
      <c r="K297" s="21">
        <v>35487</v>
      </c>
      <c r="L297" s="12"/>
      <c r="M297" s="12">
        <v>3000</v>
      </c>
      <c r="N297" s="12"/>
      <c r="O297" s="12"/>
      <c r="P297" s="12">
        <v>2000</v>
      </c>
      <c r="Q297" s="12">
        <v>1000</v>
      </c>
      <c r="R297" s="12"/>
      <c r="S297" s="12">
        <v>400</v>
      </c>
      <c r="T297" s="12"/>
      <c r="U297" s="12"/>
      <c r="V297" s="12">
        <f t="shared" si="5"/>
        <v>41887</v>
      </c>
      <c r="W297" s="12">
        <v>679</v>
      </c>
      <c r="X297" s="12">
        <v>663</v>
      </c>
      <c r="Y297" s="12">
        <f>Table1[[#This Row],[LOAD K.M]]+Table1[[#This Row],[EMPTY K.M]]</f>
        <v>1342</v>
      </c>
      <c r="Z297" s="12">
        <f>Table1[[#This Row],[INVOICE AMOUNT2]]-Table1[[#This Row],[Total Exp.]]</f>
        <v>-41887</v>
      </c>
      <c r="AA297" s="12">
        <f>Table1[[#This Row],[Total Exp.]]/Table1[[#This Row],[Total k.m]]</f>
        <v>31.212369597615499</v>
      </c>
      <c r="AB297" s="12">
        <f>Table1[[#This Row],[Profit/loss]]/Table1[[#This Row],[Total k.m]]</f>
        <v>-31.212369597615499</v>
      </c>
      <c r="AC297" s="12">
        <f>Table1[[#This Row],[INVOICE AMOUNT2]]/Table1[[#This Row],[Total k.m]]</f>
        <v>0</v>
      </c>
    </row>
    <row r="298" spans="1:29" x14ac:dyDescent="0.3">
      <c r="A298" s="51">
        <v>296</v>
      </c>
      <c r="B298" s="25" t="s">
        <v>557</v>
      </c>
      <c r="C298" s="12" t="s">
        <v>109</v>
      </c>
      <c r="D298" s="61">
        <v>46381</v>
      </c>
      <c r="E298" s="24" t="s">
        <v>643</v>
      </c>
      <c r="F298" s="12" t="s">
        <v>65</v>
      </c>
      <c r="G298" s="12" t="s">
        <v>66</v>
      </c>
      <c r="H298" s="12" t="s">
        <v>645</v>
      </c>
      <c r="I298" s="12"/>
      <c r="J298" s="12"/>
      <c r="K298" s="21">
        <v>73999</v>
      </c>
      <c r="L298" s="12"/>
      <c r="M298" s="12">
        <v>6000</v>
      </c>
      <c r="N298" s="12"/>
      <c r="O298" s="12"/>
      <c r="P298" s="12">
        <v>2000</v>
      </c>
      <c r="Q298" s="12">
        <v>1000</v>
      </c>
      <c r="R298" s="12"/>
      <c r="S298" s="12">
        <v>150</v>
      </c>
      <c r="T298" s="12">
        <v>2010</v>
      </c>
      <c r="U298" s="12">
        <v>2000</v>
      </c>
      <c r="V298" s="12">
        <f t="shared" si="5"/>
        <v>87159</v>
      </c>
      <c r="W298" s="12">
        <v>2395</v>
      </c>
      <c r="X298" s="12">
        <v>308</v>
      </c>
      <c r="Y298" s="12">
        <f>Table1[[#This Row],[LOAD K.M]]+Table1[[#This Row],[EMPTY K.M]]</f>
        <v>2703</v>
      </c>
      <c r="Z298" s="12">
        <f>Table1[[#This Row],[INVOICE AMOUNT2]]-Table1[[#This Row],[Total Exp.]]</f>
        <v>-87159</v>
      </c>
      <c r="AA298" s="12">
        <f>Table1[[#This Row],[Total Exp.]]/Table1[[#This Row],[Total k.m]]</f>
        <v>32.245283018867923</v>
      </c>
      <c r="AB298" s="12">
        <f>Table1[[#This Row],[Profit/loss]]/Table1[[#This Row],[Total k.m]]</f>
        <v>-32.245283018867923</v>
      </c>
      <c r="AC298" s="12">
        <f>Table1[[#This Row],[INVOICE AMOUNT2]]/Table1[[#This Row],[Total k.m]]</f>
        <v>0</v>
      </c>
    </row>
    <row r="299" spans="1:29" x14ac:dyDescent="0.3">
      <c r="A299" s="13">
        <v>297</v>
      </c>
      <c r="B299" s="58" t="s">
        <v>558</v>
      </c>
      <c r="C299" s="12" t="s">
        <v>29</v>
      </c>
      <c r="D299" s="61">
        <v>46381</v>
      </c>
      <c r="E299" s="24" t="s">
        <v>653</v>
      </c>
      <c r="F299" s="12" t="s">
        <v>35</v>
      </c>
      <c r="G299" s="12" t="s">
        <v>250</v>
      </c>
      <c r="H299" s="12" t="s">
        <v>85</v>
      </c>
      <c r="I299" s="12"/>
      <c r="J299" s="12"/>
      <c r="K299" s="21">
        <v>59104</v>
      </c>
      <c r="L299" s="12"/>
      <c r="M299" s="12">
        <v>4500</v>
      </c>
      <c r="N299" s="12"/>
      <c r="O299" s="12"/>
      <c r="P299" s="12">
        <v>2000</v>
      </c>
      <c r="Q299" s="12">
        <v>1500</v>
      </c>
      <c r="R299" s="12"/>
      <c r="S299" s="12"/>
      <c r="T299" s="12"/>
      <c r="U299" s="12">
        <v>1320</v>
      </c>
      <c r="V299" s="12">
        <f t="shared" si="5"/>
        <v>68424</v>
      </c>
      <c r="W299" s="12">
        <v>1497</v>
      </c>
      <c r="X299" s="12">
        <v>683</v>
      </c>
      <c r="Y299" s="12">
        <f>Table1[[#This Row],[LOAD K.M]]+Table1[[#This Row],[EMPTY K.M]]</f>
        <v>2180</v>
      </c>
      <c r="Z299" s="12">
        <f>Table1[[#This Row],[INVOICE AMOUNT2]]-Table1[[#This Row],[Total Exp.]]</f>
        <v>-68424</v>
      </c>
      <c r="AA299" s="12">
        <f>Table1[[#This Row],[Total Exp.]]/Table1[[#This Row],[Total k.m]]</f>
        <v>31.387155963302753</v>
      </c>
      <c r="AB299" s="12">
        <f>Table1[[#This Row],[Profit/loss]]/Table1[[#This Row],[Total k.m]]</f>
        <v>-31.387155963302753</v>
      </c>
      <c r="AC299" s="12">
        <f>Table1[[#This Row],[INVOICE AMOUNT2]]/Table1[[#This Row],[Total k.m]]</f>
        <v>0</v>
      </c>
    </row>
    <row r="300" spans="1:29" x14ac:dyDescent="0.3">
      <c r="A300" s="51">
        <v>298</v>
      </c>
      <c r="B300" s="70" t="s">
        <v>559</v>
      </c>
      <c r="C300" s="69" t="s">
        <v>29</v>
      </c>
      <c r="D300" s="71">
        <v>46381</v>
      </c>
      <c r="E300" s="72" t="s">
        <v>649</v>
      </c>
      <c r="F300" s="69" t="s">
        <v>65</v>
      </c>
      <c r="G300" s="69" t="s">
        <v>66</v>
      </c>
      <c r="H300" s="69" t="s">
        <v>32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>
        <f t="shared" si="5"/>
        <v>0</v>
      </c>
      <c r="W300" s="12"/>
      <c r="X300" s="12"/>
      <c r="Y300" s="12">
        <f>Table1[[#This Row],[LOAD K.M]]+Table1[[#This Row],[EMPTY K.M]]</f>
        <v>0</v>
      </c>
      <c r="Z300" s="12">
        <f>Table1[[#This Row],[INVOICE AMOUNT2]]-Table1[[#This Row],[Total Exp.]]</f>
        <v>0</v>
      </c>
      <c r="AA300" s="12" t="e">
        <f>Table1[[#This Row],[Total Exp.]]/Table1[[#This Row],[Total k.m]]</f>
        <v>#DIV/0!</v>
      </c>
      <c r="AB300" s="12" t="e">
        <f>Table1[[#This Row],[Profit/loss]]/Table1[[#This Row],[Total k.m]]</f>
        <v>#DIV/0!</v>
      </c>
      <c r="AC300" s="12" t="e">
        <f>Table1[[#This Row],[INVOICE AMOUNT2]]/Table1[[#This Row],[Total k.m]]</f>
        <v>#DIV/0!</v>
      </c>
    </row>
    <row r="301" spans="1:29" x14ac:dyDescent="0.3">
      <c r="A301" s="13">
        <v>299</v>
      </c>
      <c r="B301" s="25" t="s">
        <v>560</v>
      </c>
      <c r="C301" s="12" t="s">
        <v>82</v>
      </c>
      <c r="D301" s="61">
        <v>46381</v>
      </c>
      <c r="E301" s="24" t="s">
        <v>650</v>
      </c>
      <c r="F301" s="12" t="s">
        <v>35</v>
      </c>
      <c r="G301" s="12" t="s">
        <v>36</v>
      </c>
      <c r="H301" s="12" t="s">
        <v>70</v>
      </c>
      <c r="I301" s="12"/>
      <c r="J301" s="12"/>
      <c r="K301" s="21">
        <v>58061</v>
      </c>
      <c r="L301" s="12"/>
      <c r="M301" s="12">
        <v>4500</v>
      </c>
      <c r="N301" s="12"/>
      <c r="O301" s="12">
        <v>600</v>
      </c>
      <c r="P301" s="12">
        <v>2000</v>
      </c>
      <c r="Q301" s="12">
        <v>1000</v>
      </c>
      <c r="R301" s="12"/>
      <c r="S301" s="12">
        <v>600</v>
      </c>
      <c r="T301" s="12"/>
      <c r="U301" s="12">
        <v>2640</v>
      </c>
      <c r="V301" s="12">
        <f t="shared" si="5"/>
        <v>69401</v>
      </c>
      <c r="W301" s="12">
        <v>1301</v>
      </c>
      <c r="X301" s="12">
        <v>840</v>
      </c>
      <c r="Y301" s="12">
        <f>Table1[[#This Row],[LOAD K.M]]+Table1[[#This Row],[EMPTY K.M]]</f>
        <v>2141</v>
      </c>
      <c r="Z301" s="12">
        <f>Table1[[#This Row],[INVOICE AMOUNT2]]-Table1[[#This Row],[Total Exp.]]</f>
        <v>-69401</v>
      </c>
      <c r="AA301" s="12">
        <f>Table1[[#This Row],[Total Exp.]]/Table1[[#This Row],[Total k.m]]</f>
        <v>32.415226529659037</v>
      </c>
      <c r="AB301" s="12">
        <f>Table1[[#This Row],[Profit/loss]]/Table1[[#This Row],[Total k.m]]</f>
        <v>-32.415226529659037</v>
      </c>
      <c r="AC301" s="12">
        <f>Table1[[#This Row],[INVOICE AMOUNT2]]/Table1[[#This Row],[Total k.m]]</f>
        <v>0</v>
      </c>
    </row>
    <row r="302" spans="1:29" x14ac:dyDescent="0.3">
      <c r="A302" s="51">
        <v>300</v>
      </c>
      <c r="B302" s="25" t="s">
        <v>561</v>
      </c>
      <c r="C302" s="12" t="s">
        <v>95</v>
      </c>
      <c r="D302" s="61">
        <v>46381</v>
      </c>
      <c r="E302" s="24" t="s">
        <v>650</v>
      </c>
      <c r="F302" s="12" t="s">
        <v>178</v>
      </c>
      <c r="G302" s="12" t="s">
        <v>36</v>
      </c>
      <c r="H302" s="12" t="s">
        <v>229</v>
      </c>
      <c r="I302" s="12"/>
      <c r="J302" s="12"/>
      <c r="K302" s="21">
        <v>44392</v>
      </c>
      <c r="L302" s="12"/>
      <c r="M302" s="12">
        <v>5000</v>
      </c>
      <c r="N302" s="12"/>
      <c r="O302" s="12"/>
      <c r="P302" s="12">
        <v>2000</v>
      </c>
      <c r="Q302" s="12">
        <v>1000</v>
      </c>
      <c r="R302" s="12"/>
      <c r="S302" s="12"/>
      <c r="T302" s="12"/>
      <c r="U302" s="12">
        <v>1320</v>
      </c>
      <c r="V302" s="12">
        <f t="shared" si="5"/>
        <v>53712</v>
      </c>
      <c r="W302" s="12">
        <v>845</v>
      </c>
      <c r="X302" s="12">
        <v>827</v>
      </c>
      <c r="Y302" s="12">
        <f>Table1[[#This Row],[LOAD K.M]]+Table1[[#This Row],[EMPTY K.M]]</f>
        <v>1672</v>
      </c>
      <c r="Z302" s="12">
        <f>Table1[[#This Row],[INVOICE AMOUNT2]]-Table1[[#This Row],[Total Exp.]]</f>
        <v>-53712</v>
      </c>
      <c r="AA302" s="12">
        <f>Table1[[#This Row],[Total Exp.]]/Table1[[#This Row],[Total k.m]]</f>
        <v>32.124401913875602</v>
      </c>
      <c r="AB302" s="12">
        <f>Table1[[#This Row],[Profit/loss]]/Table1[[#This Row],[Total k.m]]</f>
        <v>-32.124401913875602</v>
      </c>
      <c r="AC302" s="12">
        <f>Table1[[#This Row],[INVOICE AMOUNT2]]/Table1[[#This Row],[Total k.m]]</f>
        <v>0</v>
      </c>
    </row>
    <row r="303" spans="1:29" x14ac:dyDescent="0.3">
      <c r="A303" s="13">
        <v>301</v>
      </c>
      <c r="B303" s="25" t="s">
        <v>562</v>
      </c>
      <c r="C303" s="12" t="s">
        <v>69</v>
      </c>
      <c r="D303" s="61">
        <v>46381</v>
      </c>
      <c r="E303" s="24" t="s">
        <v>650</v>
      </c>
      <c r="F303" s="12" t="s">
        <v>662</v>
      </c>
      <c r="G303" s="12" t="s">
        <v>36</v>
      </c>
      <c r="H303" s="12" t="s">
        <v>663</v>
      </c>
      <c r="I303" s="12"/>
      <c r="J303" s="12"/>
      <c r="K303" s="27">
        <v>47992</v>
      </c>
      <c r="L303" s="12"/>
      <c r="M303" s="12">
        <v>1500</v>
      </c>
      <c r="N303" s="12"/>
      <c r="O303" s="12"/>
      <c r="P303" s="12">
        <v>2000</v>
      </c>
      <c r="Q303" s="12">
        <v>1000</v>
      </c>
      <c r="R303" s="12"/>
      <c r="S303" s="12">
        <v>600</v>
      </c>
      <c r="T303" s="12"/>
      <c r="U303" s="12">
        <v>2640</v>
      </c>
      <c r="V303" s="12">
        <f t="shared" si="5"/>
        <v>55732</v>
      </c>
      <c r="W303" s="12">
        <v>1230</v>
      </c>
      <c r="X303" s="12">
        <v>561</v>
      </c>
      <c r="Y303" s="12">
        <f>Table1[[#This Row],[LOAD K.M]]+Table1[[#This Row],[EMPTY K.M]]</f>
        <v>1791</v>
      </c>
      <c r="Z303" s="12">
        <f>Table1[[#This Row],[INVOICE AMOUNT2]]-Table1[[#This Row],[Total Exp.]]</f>
        <v>-55732</v>
      </c>
      <c r="AA303" s="12">
        <f>Table1[[#This Row],[Total Exp.]]/Table1[[#This Row],[Total k.m]]</f>
        <v>31.117811278615299</v>
      </c>
      <c r="AB303" s="12">
        <f>Table1[[#This Row],[Profit/loss]]/Table1[[#This Row],[Total k.m]]</f>
        <v>-31.117811278615299</v>
      </c>
      <c r="AC303" s="12">
        <f>Table1[[#This Row],[INVOICE AMOUNT2]]/Table1[[#This Row],[Total k.m]]</f>
        <v>0</v>
      </c>
    </row>
    <row r="304" spans="1:29" x14ac:dyDescent="0.3">
      <c r="A304" s="51">
        <v>302</v>
      </c>
      <c r="B304" s="25" t="s">
        <v>563</v>
      </c>
      <c r="C304" s="12" t="s">
        <v>72</v>
      </c>
      <c r="D304" s="61">
        <v>46381</v>
      </c>
      <c r="E304" s="24" t="s">
        <v>650</v>
      </c>
      <c r="F304" s="12" t="s">
        <v>65</v>
      </c>
      <c r="G304" s="12" t="s">
        <v>66</v>
      </c>
      <c r="H304" s="12" t="s">
        <v>115</v>
      </c>
      <c r="I304" s="12"/>
      <c r="J304" s="12"/>
      <c r="K304" s="12">
        <v>5500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>
        <f t="shared" si="5"/>
        <v>5500</v>
      </c>
      <c r="W304" s="12">
        <v>45</v>
      </c>
      <c r="X304" s="12">
        <v>45</v>
      </c>
      <c r="Y304" s="12">
        <f>Table1[[#This Row],[LOAD K.M]]+Table1[[#This Row],[EMPTY K.M]]</f>
        <v>90</v>
      </c>
      <c r="Z304" s="12">
        <f>Table1[[#This Row],[INVOICE AMOUNT2]]-Table1[[#This Row],[Total Exp.]]</f>
        <v>-5500</v>
      </c>
      <c r="AA304" s="12">
        <f>Table1[[#This Row],[Total Exp.]]/Table1[[#This Row],[Total k.m]]</f>
        <v>61.111111111111114</v>
      </c>
      <c r="AB304" s="12">
        <f>Table1[[#This Row],[Profit/loss]]/Table1[[#This Row],[Total k.m]]</f>
        <v>-61.111111111111114</v>
      </c>
      <c r="AC304" s="12">
        <f>Table1[[#This Row],[INVOICE AMOUNT2]]/Table1[[#This Row],[Total k.m]]</f>
        <v>0</v>
      </c>
    </row>
    <row r="305" spans="1:29" x14ac:dyDescent="0.3">
      <c r="A305" s="13">
        <v>303</v>
      </c>
      <c r="B305" s="25" t="s">
        <v>564</v>
      </c>
      <c r="C305" s="12" t="s">
        <v>72</v>
      </c>
      <c r="D305" s="61">
        <v>46381</v>
      </c>
      <c r="E305" s="24" t="s">
        <v>671</v>
      </c>
      <c r="F305" s="12" t="s">
        <v>65</v>
      </c>
      <c r="G305" s="12" t="s">
        <v>66</v>
      </c>
      <c r="H305" s="12" t="s">
        <v>410</v>
      </c>
      <c r="I305" s="12"/>
      <c r="J305" s="12"/>
      <c r="K305" s="21">
        <v>55369</v>
      </c>
      <c r="L305" s="12"/>
      <c r="M305" s="12">
        <v>6000</v>
      </c>
      <c r="N305" s="12"/>
      <c r="O305" s="12"/>
      <c r="P305" s="12">
        <v>2000</v>
      </c>
      <c r="Q305" s="12">
        <v>1000</v>
      </c>
      <c r="R305" s="12"/>
      <c r="S305" s="12">
        <v>750</v>
      </c>
      <c r="T305" s="12"/>
      <c r="U305" s="12">
        <v>3960</v>
      </c>
      <c r="V305" s="12">
        <f t="shared" si="5"/>
        <v>69079</v>
      </c>
      <c r="W305" s="12">
        <v>1837</v>
      </c>
      <c r="X305" s="12">
        <v>172</v>
      </c>
      <c r="Y305" s="12">
        <f>Table1[[#This Row],[LOAD K.M]]+Table1[[#This Row],[EMPTY K.M]]</f>
        <v>2009</v>
      </c>
      <c r="Z305" s="12">
        <f>Table1[[#This Row],[INVOICE AMOUNT2]]-Table1[[#This Row],[Total Exp.]]</f>
        <v>-69079</v>
      </c>
      <c r="AA305" s="12">
        <f>Table1[[#This Row],[Total Exp.]]/Table1[[#This Row],[Total k.m]]</f>
        <v>34.38476854156297</v>
      </c>
      <c r="AB305" s="12">
        <f>Table1[[#This Row],[Profit/loss]]/Table1[[#This Row],[Total k.m]]</f>
        <v>-34.38476854156297</v>
      </c>
      <c r="AC305" s="12">
        <f>Table1[[#This Row],[INVOICE AMOUNT2]]/Table1[[#This Row],[Total k.m]]</f>
        <v>0</v>
      </c>
    </row>
    <row r="306" spans="1:29" x14ac:dyDescent="0.3">
      <c r="A306" s="51">
        <v>304</v>
      </c>
      <c r="B306" s="25" t="s">
        <v>565</v>
      </c>
      <c r="C306" s="12" t="s">
        <v>109</v>
      </c>
      <c r="D306" s="61">
        <v>46381</v>
      </c>
      <c r="E306" s="24" t="s">
        <v>671</v>
      </c>
      <c r="F306" s="12" t="s">
        <v>35</v>
      </c>
      <c r="G306" s="12" t="s">
        <v>250</v>
      </c>
      <c r="H306" s="12" t="s">
        <v>644</v>
      </c>
      <c r="I306" s="12"/>
      <c r="J306" s="12"/>
      <c r="K306" s="21">
        <v>86900</v>
      </c>
      <c r="L306" s="12"/>
      <c r="M306" s="12">
        <v>7600</v>
      </c>
      <c r="N306" s="12"/>
      <c r="O306" s="12"/>
      <c r="P306" s="12">
        <v>2000</v>
      </c>
      <c r="Q306" s="12">
        <v>1000</v>
      </c>
      <c r="R306" s="12"/>
      <c r="S306" s="12">
        <v>400</v>
      </c>
      <c r="T306" s="12">
        <v>4450</v>
      </c>
      <c r="U306" s="12">
        <v>2640</v>
      </c>
      <c r="V306" s="12">
        <f t="shared" si="5"/>
        <v>104990</v>
      </c>
      <c r="W306" s="12">
        <v>2441</v>
      </c>
      <c r="X306" s="12">
        <v>759</v>
      </c>
      <c r="Y306" s="12">
        <f>Table1[[#This Row],[LOAD K.M]]+Table1[[#This Row],[EMPTY K.M]]</f>
        <v>3200</v>
      </c>
      <c r="Z306" s="12">
        <f>Table1[[#This Row],[INVOICE AMOUNT2]]-Table1[[#This Row],[Total Exp.]]</f>
        <v>-104990</v>
      </c>
      <c r="AA306" s="12">
        <f>Table1[[#This Row],[Total Exp.]]/Table1[[#This Row],[Total k.m]]</f>
        <v>32.809375000000003</v>
      </c>
      <c r="AB306" s="12">
        <f>Table1[[#This Row],[Profit/loss]]/Table1[[#This Row],[Total k.m]]</f>
        <v>-32.809375000000003</v>
      </c>
      <c r="AC306" s="12">
        <f>Table1[[#This Row],[INVOICE AMOUNT2]]/Table1[[#This Row],[Total k.m]]</f>
        <v>0</v>
      </c>
    </row>
    <row r="307" spans="1:29" x14ac:dyDescent="0.3">
      <c r="A307" s="13">
        <v>305</v>
      </c>
      <c r="B307" s="25" t="s">
        <v>566</v>
      </c>
      <c r="C307" s="12" t="s">
        <v>93</v>
      </c>
      <c r="D307" s="61">
        <v>46381</v>
      </c>
      <c r="E307" s="24" t="s">
        <v>671</v>
      </c>
      <c r="F307" s="12" t="s">
        <v>35</v>
      </c>
      <c r="G307" s="12" t="s">
        <v>250</v>
      </c>
      <c r="H307" s="12" t="s">
        <v>669</v>
      </c>
      <c r="I307" s="12"/>
      <c r="J307" s="12"/>
      <c r="K307" s="21">
        <v>63898</v>
      </c>
      <c r="L307" s="12"/>
      <c r="M307" s="12">
        <v>6000</v>
      </c>
      <c r="N307" s="12"/>
      <c r="O307" s="12"/>
      <c r="P307" s="12">
        <v>2000</v>
      </c>
      <c r="Q307" s="12">
        <v>1000</v>
      </c>
      <c r="R307" s="12"/>
      <c r="S307" s="12">
        <v>400</v>
      </c>
      <c r="T307" s="12"/>
      <c r="U307" s="12">
        <v>2640</v>
      </c>
      <c r="V307" s="12">
        <f t="shared" si="5"/>
        <v>75938</v>
      </c>
      <c r="W307" s="12">
        <v>2071</v>
      </c>
      <c r="X307" s="12">
        <v>249</v>
      </c>
      <c r="Y307" s="12">
        <f>Table1[[#This Row],[LOAD K.M]]+Table1[[#This Row],[EMPTY K.M]]</f>
        <v>2320</v>
      </c>
      <c r="Z307" s="12">
        <f>Table1[[#This Row],[INVOICE AMOUNT2]]-Table1[[#This Row],[Total Exp.]]</f>
        <v>-75938</v>
      </c>
      <c r="AA307" s="12">
        <f>Table1[[#This Row],[Total Exp.]]/Table1[[#This Row],[Total k.m]]</f>
        <v>32.731896551724141</v>
      </c>
      <c r="AB307" s="12">
        <f>Table1[[#This Row],[Profit/loss]]/Table1[[#This Row],[Total k.m]]</f>
        <v>-32.731896551724141</v>
      </c>
      <c r="AC307" s="12">
        <f>Table1[[#This Row],[INVOICE AMOUNT2]]/Table1[[#This Row],[Total k.m]]</f>
        <v>0</v>
      </c>
    </row>
    <row r="308" spans="1:29" x14ac:dyDescent="0.3">
      <c r="A308" s="51">
        <v>306</v>
      </c>
      <c r="B308" s="25" t="s">
        <v>567</v>
      </c>
      <c r="C308" s="12" t="s">
        <v>98</v>
      </c>
      <c r="D308" s="61">
        <v>46381</v>
      </c>
      <c r="E308" s="24" t="s">
        <v>671</v>
      </c>
      <c r="F308" s="12" t="s">
        <v>35</v>
      </c>
      <c r="G308" s="12" t="s">
        <v>631</v>
      </c>
      <c r="H308" s="12" t="s">
        <v>326</v>
      </c>
      <c r="I308" s="12"/>
      <c r="J308" s="12"/>
      <c r="K308" s="21">
        <v>34245</v>
      </c>
      <c r="L308" s="12"/>
      <c r="M308" s="12">
        <v>2500</v>
      </c>
      <c r="N308" s="12"/>
      <c r="O308" s="12"/>
      <c r="P308" s="12">
        <v>2000</v>
      </c>
      <c r="Q308" s="12">
        <v>1000</v>
      </c>
      <c r="R308" s="12"/>
      <c r="S308" s="12"/>
      <c r="T308" s="12"/>
      <c r="U308" s="12"/>
      <c r="V308" s="12">
        <f t="shared" si="5"/>
        <v>39745</v>
      </c>
      <c r="W308" s="12">
        <v>843</v>
      </c>
      <c r="X308" s="12">
        <v>470</v>
      </c>
      <c r="Y308" s="12">
        <f>Table1[[#This Row],[LOAD K.M]]+Table1[[#This Row],[EMPTY K.M]]</f>
        <v>1313</v>
      </c>
      <c r="Z308" s="12">
        <f>Table1[[#This Row],[INVOICE AMOUNT2]]-Table1[[#This Row],[Total Exp.]]</f>
        <v>-39745</v>
      </c>
      <c r="AA308" s="12">
        <f>Table1[[#This Row],[Total Exp.]]/Table1[[#This Row],[Total k.m]]</f>
        <v>30.27037319116527</v>
      </c>
      <c r="AB308" s="12">
        <f>Table1[[#This Row],[Profit/loss]]/Table1[[#This Row],[Total k.m]]</f>
        <v>-30.27037319116527</v>
      </c>
      <c r="AC308" s="12">
        <f>Table1[[#This Row],[INVOICE AMOUNT2]]/Table1[[#This Row],[Total k.m]]</f>
        <v>0</v>
      </c>
    </row>
    <row r="309" spans="1:29" x14ac:dyDescent="0.3">
      <c r="A309" s="13">
        <v>307</v>
      </c>
      <c r="B309" s="25" t="s">
        <v>568</v>
      </c>
      <c r="C309" s="12" t="s">
        <v>134</v>
      </c>
      <c r="D309" s="61">
        <v>46381</v>
      </c>
      <c r="E309" s="24" t="s">
        <v>671</v>
      </c>
      <c r="F309" s="12" t="s">
        <v>35</v>
      </c>
      <c r="G309" s="12" t="s">
        <v>250</v>
      </c>
      <c r="H309" s="12" t="s">
        <v>55</v>
      </c>
      <c r="I309" s="12"/>
      <c r="J309" s="12"/>
      <c r="K309" s="21">
        <v>19427</v>
      </c>
      <c r="L309" s="12"/>
      <c r="M309" s="12">
        <v>1500</v>
      </c>
      <c r="N309" s="12">
        <v>800</v>
      </c>
      <c r="O309" s="12"/>
      <c r="P309" s="12">
        <v>2000</v>
      </c>
      <c r="Q309" s="12">
        <v>1500</v>
      </c>
      <c r="R309" s="12"/>
      <c r="S309" s="12">
        <v>800</v>
      </c>
      <c r="T309" s="12"/>
      <c r="U309" s="12"/>
      <c r="V309" s="12">
        <f t="shared" si="5"/>
        <v>26027</v>
      </c>
      <c r="W309" s="12">
        <v>606</v>
      </c>
      <c r="X309" s="12">
        <v>108</v>
      </c>
      <c r="Y309" s="12">
        <f>Table1[[#This Row],[LOAD K.M]]+Table1[[#This Row],[EMPTY K.M]]</f>
        <v>714</v>
      </c>
      <c r="Z309" s="12">
        <f>Table1[[#This Row],[INVOICE AMOUNT2]]-Table1[[#This Row],[Total Exp.]]</f>
        <v>-26027</v>
      </c>
      <c r="AA309" s="12">
        <f>Table1[[#This Row],[Total Exp.]]/Table1[[#This Row],[Total k.m]]</f>
        <v>36.452380952380949</v>
      </c>
      <c r="AB309" s="12">
        <f>Table1[[#This Row],[Profit/loss]]/Table1[[#This Row],[Total k.m]]</f>
        <v>-36.452380952380949</v>
      </c>
      <c r="AC309" s="12">
        <f>Table1[[#This Row],[INVOICE AMOUNT2]]/Table1[[#This Row],[Total k.m]]</f>
        <v>0</v>
      </c>
    </row>
    <row r="310" spans="1:29" x14ac:dyDescent="0.3">
      <c r="A310" s="51">
        <v>308</v>
      </c>
      <c r="B310" s="68" t="s">
        <v>569</v>
      </c>
      <c r="C310" s="12" t="s">
        <v>29</v>
      </c>
      <c r="D310" s="61">
        <v>46381</v>
      </c>
      <c r="E310" s="24" t="s">
        <v>672</v>
      </c>
      <c r="F310" s="12" t="s">
        <v>35</v>
      </c>
      <c r="G310" s="12" t="s">
        <v>36</v>
      </c>
      <c r="H310" s="12" t="s">
        <v>295</v>
      </c>
      <c r="I310" s="12"/>
      <c r="J310" s="12"/>
      <c r="K310" s="21">
        <v>41442</v>
      </c>
      <c r="L310" s="12"/>
      <c r="M310" s="12">
        <v>4500</v>
      </c>
      <c r="N310" s="12"/>
      <c r="O310" s="12"/>
      <c r="P310" s="12">
        <v>2000</v>
      </c>
      <c r="Q310" s="12">
        <v>1000</v>
      </c>
      <c r="R310" s="12"/>
      <c r="S310" s="12"/>
      <c r="T310" s="12"/>
      <c r="U310" s="12">
        <v>2640</v>
      </c>
      <c r="V310" s="12">
        <f t="shared" si="5"/>
        <v>51582</v>
      </c>
      <c r="W310" s="12">
        <v>1226</v>
      </c>
      <c r="X310" s="12">
        <v>300</v>
      </c>
      <c r="Y310" s="12">
        <f>Table1[[#This Row],[LOAD K.M]]+Table1[[#This Row],[EMPTY K.M]]</f>
        <v>1526</v>
      </c>
      <c r="Z310" s="12">
        <f>Table1[[#This Row],[INVOICE AMOUNT2]]-Table1[[#This Row],[Total Exp.]]</f>
        <v>-51582</v>
      </c>
      <c r="AA310" s="12">
        <f>Table1[[#This Row],[Total Exp.]]/Table1[[#This Row],[Total k.m]]</f>
        <v>33.802096985583226</v>
      </c>
      <c r="AB310" s="12">
        <f>Table1[[#This Row],[Profit/loss]]/Table1[[#This Row],[Total k.m]]</f>
        <v>-33.802096985583226</v>
      </c>
      <c r="AC310" s="12">
        <f>Table1[[#This Row],[INVOICE AMOUNT2]]/Table1[[#This Row],[Total k.m]]</f>
        <v>0</v>
      </c>
    </row>
    <row r="311" spans="1:29" x14ac:dyDescent="0.3">
      <c r="A311" s="13">
        <v>309</v>
      </c>
      <c r="B311" s="25" t="s">
        <v>570</v>
      </c>
      <c r="C311" s="12" t="s">
        <v>46</v>
      </c>
      <c r="D311" s="61">
        <v>46381</v>
      </c>
      <c r="E311" s="24" t="s">
        <v>670</v>
      </c>
      <c r="F311" s="12" t="s">
        <v>65</v>
      </c>
      <c r="G311" s="12" t="s">
        <v>66</v>
      </c>
      <c r="H311" s="12" t="s">
        <v>673</v>
      </c>
      <c r="I311" s="12"/>
      <c r="J311" s="12"/>
      <c r="K311" s="21">
        <v>57051</v>
      </c>
      <c r="L311" s="12"/>
      <c r="M311" s="12">
        <v>6000</v>
      </c>
      <c r="N311" s="12"/>
      <c r="O311" s="12"/>
      <c r="P311" s="12">
        <v>2000</v>
      </c>
      <c r="Q311" s="12">
        <v>1000</v>
      </c>
      <c r="R311" s="12"/>
      <c r="S311" s="12">
        <v>900</v>
      </c>
      <c r="T311" s="12"/>
      <c r="U311" s="12">
        <v>1320</v>
      </c>
      <c r="V311" s="12">
        <f t="shared" si="5"/>
        <v>68271</v>
      </c>
      <c r="W311" s="12">
        <v>2019</v>
      </c>
      <c r="X311" s="12">
        <v>32</v>
      </c>
      <c r="Y311" s="12">
        <f>Table1[[#This Row],[LOAD K.M]]+Table1[[#This Row],[EMPTY K.M]]</f>
        <v>2051</v>
      </c>
      <c r="Z311" s="12">
        <f>Table1[[#This Row],[INVOICE AMOUNT2]]-Table1[[#This Row],[Total Exp.]]</f>
        <v>-68271</v>
      </c>
      <c r="AA311" s="12">
        <f>Table1[[#This Row],[Total Exp.]]/Table1[[#This Row],[Total k.m]]</f>
        <v>33.286689419795223</v>
      </c>
      <c r="AB311" s="12">
        <f>Table1[[#This Row],[Profit/loss]]/Table1[[#This Row],[Total k.m]]</f>
        <v>-33.286689419795223</v>
      </c>
      <c r="AC311" s="12">
        <f>Table1[[#This Row],[INVOICE AMOUNT2]]/Table1[[#This Row],[Total k.m]]</f>
        <v>0</v>
      </c>
    </row>
    <row r="312" spans="1:29" x14ac:dyDescent="0.3">
      <c r="A312" s="51">
        <v>310</v>
      </c>
      <c r="B312" s="25" t="s">
        <v>571</v>
      </c>
      <c r="C312" s="12" t="s">
        <v>98</v>
      </c>
      <c r="D312" s="61">
        <v>46381</v>
      </c>
      <c r="E312" s="24" t="s">
        <v>670</v>
      </c>
      <c r="F312" s="12" t="s">
        <v>35</v>
      </c>
      <c r="G312" s="12" t="s">
        <v>250</v>
      </c>
      <c r="H312" s="12" t="s">
        <v>674</v>
      </c>
      <c r="I312" s="12"/>
      <c r="J312" s="12"/>
      <c r="K312" s="21">
        <v>44798</v>
      </c>
      <c r="L312" s="12"/>
      <c r="M312" s="12">
        <v>3500</v>
      </c>
      <c r="N312" s="12">
        <v>800</v>
      </c>
      <c r="O312" s="12"/>
      <c r="P312" s="12">
        <v>2000</v>
      </c>
      <c r="Q312" s="12">
        <v>1000</v>
      </c>
      <c r="R312" s="12"/>
      <c r="S312" s="12">
        <v>200</v>
      </c>
      <c r="T312" s="12"/>
      <c r="U312" s="12">
        <v>2640</v>
      </c>
      <c r="V312" s="12">
        <f t="shared" si="5"/>
        <v>54938</v>
      </c>
      <c r="W312" s="12">
        <v>1130</v>
      </c>
      <c r="X312" s="12">
        <v>546</v>
      </c>
      <c r="Y312" s="12">
        <f>Table1[[#This Row],[LOAD K.M]]+Table1[[#This Row],[EMPTY K.M]]</f>
        <v>1676</v>
      </c>
      <c r="Z312" s="12">
        <f>Table1[[#This Row],[INVOICE AMOUNT2]]-Table1[[#This Row],[Total Exp.]]</f>
        <v>-54938</v>
      </c>
      <c r="AA312" s="12">
        <f>Table1[[#This Row],[Total Exp.]]/Table1[[#This Row],[Total k.m]]</f>
        <v>32.779236276849645</v>
      </c>
      <c r="AB312" s="12">
        <f>Table1[[#This Row],[Profit/loss]]/Table1[[#This Row],[Total k.m]]</f>
        <v>-32.779236276849645</v>
      </c>
      <c r="AC312" s="12">
        <f>Table1[[#This Row],[INVOICE AMOUNT2]]/Table1[[#This Row],[Total k.m]]</f>
        <v>0</v>
      </c>
    </row>
    <row r="313" spans="1:29" x14ac:dyDescent="0.3">
      <c r="A313" s="13">
        <v>311</v>
      </c>
      <c r="B313" s="25" t="s">
        <v>572</v>
      </c>
      <c r="C313" s="12" t="s">
        <v>63</v>
      </c>
      <c r="D313" s="61">
        <v>46381</v>
      </c>
      <c r="E313" s="24" t="s">
        <v>670</v>
      </c>
      <c r="F313" s="12" t="s">
        <v>178</v>
      </c>
      <c r="G313" s="12" t="s">
        <v>228</v>
      </c>
      <c r="H313" s="12" t="s">
        <v>675</v>
      </c>
      <c r="I313" s="12"/>
      <c r="J313" s="12"/>
      <c r="K313" s="21">
        <v>37607</v>
      </c>
      <c r="L313" s="12"/>
      <c r="M313" s="12">
        <v>4000</v>
      </c>
      <c r="N313" s="12"/>
      <c r="O313" s="12"/>
      <c r="P313" s="12">
        <v>2000</v>
      </c>
      <c r="Q313" s="12">
        <v>1000</v>
      </c>
      <c r="R313" s="12"/>
      <c r="S313" s="12">
        <v>800</v>
      </c>
      <c r="T313" s="12"/>
      <c r="U313" s="12">
        <v>1320</v>
      </c>
      <c r="V313" s="12">
        <f t="shared" si="5"/>
        <v>46727</v>
      </c>
      <c r="W313" s="12">
        <v>799</v>
      </c>
      <c r="X313" s="12">
        <v>611</v>
      </c>
      <c r="Y313" s="12">
        <f>Table1[[#This Row],[LOAD K.M]]+Table1[[#This Row],[EMPTY K.M]]</f>
        <v>1410</v>
      </c>
      <c r="Z313" s="12">
        <f>Table1[[#This Row],[INVOICE AMOUNT2]]-Table1[[#This Row],[Total Exp.]]</f>
        <v>-46727</v>
      </c>
      <c r="AA313" s="12">
        <f>Table1[[#This Row],[Total Exp.]]/Table1[[#This Row],[Total k.m]]</f>
        <v>33.139716312056734</v>
      </c>
      <c r="AB313" s="12">
        <f>Table1[[#This Row],[Profit/loss]]/Table1[[#This Row],[Total k.m]]</f>
        <v>-33.139716312056734</v>
      </c>
      <c r="AC313" s="12">
        <f>Table1[[#This Row],[INVOICE AMOUNT2]]/Table1[[#This Row],[Total k.m]]</f>
        <v>0</v>
      </c>
    </row>
    <row r="314" spans="1:29" x14ac:dyDescent="0.3">
      <c r="A314" s="51">
        <v>312</v>
      </c>
      <c r="B314" s="25" t="s">
        <v>573</v>
      </c>
      <c r="C314" s="12" t="s">
        <v>102</v>
      </c>
      <c r="D314" s="61">
        <v>46381</v>
      </c>
      <c r="E314" s="24" t="s">
        <v>676</v>
      </c>
      <c r="F314" s="12" t="s">
        <v>178</v>
      </c>
      <c r="G314" s="12" t="s">
        <v>228</v>
      </c>
      <c r="H314" s="12" t="s">
        <v>677</v>
      </c>
      <c r="I314" s="12"/>
      <c r="J314" s="12"/>
      <c r="K314" s="21">
        <v>37265</v>
      </c>
      <c r="L314" s="12"/>
      <c r="M314" s="12">
        <v>1500</v>
      </c>
      <c r="N314" s="12"/>
      <c r="O314" s="12"/>
      <c r="P314" s="12">
        <v>2000</v>
      </c>
      <c r="Q314" s="12">
        <v>1000</v>
      </c>
      <c r="R314" s="12"/>
      <c r="S314" s="12">
        <v>1500</v>
      </c>
      <c r="T314" s="12"/>
      <c r="U314" s="12">
        <v>1320</v>
      </c>
      <c r="V314" s="12">
        <f t="shared" si="5"/>
        <v>44585</v>
      </c>
      <c r="W314" s="12">
        <v>1065</v>
      </c>
      <c r="X314" s="12">
        <v>311</v>
      </c>
      <c r="Y314" s="12">
        <f>Table1[[#This Row],[LOAD K.M]]+Table1[[#This Row],[EMPTY K.M]]</f>
        <v>1376</v>
      </c>
      <c r="Z314" s="12">
        <f>Table1[[#This Row],[INVOICE AMOUNT2]]-Table1[[#This Row],[Total Exp.]]</f>
        <v>-44585</v>
      </c>
      <c r="AA314" s="12">
        <f>Table1[[#This Row],[Total Exp.]]/Table1[[#This Row],[Total k.m]]</f>
        <v>32.401889534883722</v>
      </c>
      <c r="AB314" s="12">
        <f>Table1[[#This Row],[Profit/loss]]/Table1[[#This Row],[Total k.m]]</f>
        <v>-32.401889534883722</v>
      </c>
      <c r="AC314" s="12">
        <f>Table1[[#This Row],[INVOICE AMOUNT2]]/Table1[[#This Row],[Total k.m]]</f>
        <v>0</v>
      </c>
    </row>
    <row r="315" spans="1:29" x14ac:dyDescent="0.3">
      <c r="A315" s="13">
        <v>313</v>
      </c>
      <c r="B315" s="25" t="s">
        <v>574</v>
      </c>
      <c r="C315" s="12" t="s">
        <v>87</v>
      </c>
      <c r="D315" s="61">
        <v>46381</v>
      </c>
      <c r="E315" s="24" t="s">
        <v>676</v>
      </c>
      <c r="F315" s="12" t="s">
        <v>35</v>
      </c>
      <c r="G315" s="12" t="s">
        <v>631</v>
      </c>
      <c r="H315" s="12" t="s">
        <v>326</v>
      </c>
      <c r="I315" s="12"/>
      <c r="J315" s="12"/>
      <c r="K315" s="27">
        <v>34702</v>
      </c>
      <c r="L315" s="12"/>
      <c r="M315" s="12">
        <v>5000</v>
      </c>
      <c r="N315" s="12"/>
      <c r="O315" s="12"/>
      <c r="P315" s="12">
        <v>2000</v>
      </c>
      <c r="Q315" s="12">
        <v>1000</v>
      </c>
      <c r="R315" s="12"/>
      <c r="S315" s="12"/>
      <c r="T315" s="12"/>
      <c r="U315" s="12">
        <v>2600</v>
      </c>
      <c r="V315" s="12">
        <f t="shared" si="5"/>
        <v>45302</v>
      </c>
      <c r="W315" s="12">
        <v>861</v>
      </c>
      <c r="X315" s="12">
        <v>471</v>
      </c>
      <c r="Y315" s="12">
        <f>Table1[[#This Row],[LOAD K.M]]+Table1[[#This Row],[EMPTY K.M]]</f>
        <v>1332</v>
      </c>
      <c r="Z315" s="12">
        <f>Table1[[#This Row],[INVOICE AMOUNT2]]-Table1[[#This Row],[Total Exp.]]</f>
        <v>-45302</v>
      </c>
      <c r="AA315" s="12">
        <f>Table1[[#This Row],[Total Exp.]]/Table1[[#This Row],[Total k.m]]</f>
        <v>34.010510510510514</v>
      </c>
      <c r="AB315" s="12">
        <f>Table1[[#This Row],[Profit/loss]]/Table1[[#This Row],[Total k.m]]</f>
        <v>-34.010510510510514</v>
      </c>
      <c r="AC315" s="12">
        <f>Table1[[#This Row],[INVOICE AMOUNT2]]/Table1[[#This Row],[Total k.m]]</f>
        <v>0</v>
      </c>
    </row>
    <row r="316" spans="1:29" x14ac:dyDescent="0.3">
      <c r="A316" s="51">
        <v>314</v>
      </c>
      <c r="B316" s="25" t="s">
        <v>575</v>
      </c>
      <c r="C316" s="12" t="s">
        <v>95</v>
      </c>
      <c r="D316" s="61">
        <v>46381</v>
      </c>
      <c r="E316" s="24" t="s">
        <v>676</v>
      </c>
      <c r="F316" s="12" t="s">
        <v>35</v>
      </c>
      <c r="G316" s="12" t="s">
        <v>36</v>
      </c>
      <c r="H316" s="12" t="s">
        <v>85</v>
      </c>
      <c r="I316" s="12"/>
      <c r="J316" s="12"/>
      <c r="K316" s="21">
        <v>34177</v>
      </c>
      <c r="L316" s="12"/>
      <c r="M316" s="12">
        <v>3000</v>
      </c>
      <c r="N316" s="12"/>
      <c r="O316" s="12"/>
      <c r="P316" s="12">
        <v>2000</v>
      </c>
      <c r="Q316" s="12">
        <v>1500</v>
      </c>
      <c r="R316" s="12"/>
      <c r="S316" s="12">
        <v>200</v>
      </c>
      <c r="T316" s="12"/>
      <c r="U316" s="12">
        <v>1320</v>
      </c>
      <c r="V316" s="12">
        <f t="shared" si="5"/>
        <v>42197</v>
      </c>
      <c r="W316" s="12">
        <v>648</v>
      </c>
      <c r="X316" s="12">
        <v>647</v>
      </c>
      <c r="Y316" s="12">
        <f>Table1[[#This Row],[LOAD K.M]]+Table1[[#This Row],[EMPTY K.M]]</f>
        <v>1295</v>
      </c>
      <c r="Z316" s="12">
        <f>Table1[[#This Row],[INVOICE AMOUNT2]]-Table1[[#This Row],[Total Exp.]]</f>
        <v>-42197</v>
      </c>
      <c r="AA316" s="12">
        <f>Table1[[#This Row],[Total Exp.]]/Table1[[#This Row],[Total k.m]]</f>
        <v>32.584555984555983</v>
      </c>
      <c r="AB316" s="12">
        <f>Table1[[#This Row],[Profit/loss]]/Table1[[#This Row],[Total k.m]]</f>
        <v>-32.584555984555983</v>
      </c>
      <c r="AC316" s="53">
        <f>Table1[[#This Row],[INVOICE AMOUNT2]]/Table1[[#This Row],[Total k.m]]</f>
        <v>0</v>
      </c>
    </row>
    <row r="317" spans="1:29" x14ac:dyDescent="0.3">
      <c r="A317" s="51">
        <v>315</v>
      </c>
      <c r="B317" s="25" t="s">
        <v>678</v>
      </c>
      <c r="C317" s="12" t="s">
        <v>84</v>
      </c>
      <c r="D317" s="61">
        <v>46381</v>
      </c>
      <c r="E317" s="24" t="s">
        <v>676</v>
      </c>
      <c r="F317" s="12" t="s">
        <v>35</v>
      </c>
      <c r="G317" s="12" t="s">
        <v>250</v>
      </c>
      <c r="H317" s="12" t="s">
        <v>342</v>
      </c>
      <c r="I317" s="12"/>
      <c r="J317" s="12"/>
      <c r="K317" s="21">
        <v>35823</v>
      </c>
      <c r="L317" s="12"/>
      <c r="M317" s="12">
        <v>1500</v>
      </c>
      <c r="N317" s="12"/>
      <c r="O317" s="12"/>
      <c r="P317" s="12">
        <v>2000</v>
      </c>
      <c r="Q317" s="12">
        <v>1000</v>
      </c>
      <c r="R317" s="12"/>
      <c r="S317" s="12">
        <v>400</v>
      </c>
      <c r="T317" s="12"/>
      <c r="U317" s="12">
        <v>1320</v>
      </c>
      <c r="V317" s="12">
        <f t="shared" ref="V317:V348" si="6">SUM(K317:U317)</f>
        <v>42043</v>
      </c>
      <c r="W317" s="12">
        <v>1032</v>
      </c>
      <c r="X317" s="12">
        <v>306</v>
      </c>
      <c r="Y317" s="12">
        <f>Table1[[#This Row],[LOAD K.M]]+Table1[[#This Row],[EMPTY K.M]]</f>
        <v>1338</v>
      </c>
      <c r="Z317" s="12">
        <f>Table1[[#This Row],[INVOICE AMOUNT2]]-Table1[[#This Row],[Total Exp.]]</f>
        <v>-42043</v>
      </c>
      <c r="AA317" s="12">
        <f>Table1[[#This Row],[Total Exp.]]/Table1[[#This Row],[Total k.m]]</f>
        <v>31.422272047832585</v>
      </c>
      <c r="AB317" s="12">
        <f>Table1[[#This Row],[Profit/loss]]/Table1[[#This Row],[Total k.m]]</f>
        <v>-31.422272047832585</v>
      </c>
      <c r="AC317" s="12">
        <f>Table1[[#This Row],[INVOICE AMOUNT2]]/Table1[[#This Row],[Total k.m]]</f>
        <v>0</v>
      </c>
    </row>
    <row r="318" spans="1:29" x14ac:dyDescent="0.3">
      <c r="A318" s="13">
        <v>316</v>
      </c>
      <c r="B318" s="25" t="s">
        <v>679</v>
      </c>
      <c r="C318" s="12" t="s">
        <v>82</v>
      </c>
      <c r="D318" s="61">
        <v>46381</v>
      </c>
      <c r="E318" s="24" t="s">
        <v>739</v>
      </c>
      <c r="F318" s="12" t="s">
        <v>65</v>
      </c>
      <c r="G318" s="12" t="s">
        <v>66</v>
      </c>
      <c r="H318" s="12" t="s">
        <v>115</v>
      </c>
      <c r="I318" s="12"/>
      <c r="J318" s="12"/>
      <c r="K318" s="12">
        <v>6000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>
        <f t="shared" si="6"/>
        <v>6000</v>
      </c>
      <c r="W318" s="12">
        <v>42</v>
      </c>
      <c r="X318" s="12">
        <v>58</v>
      </c>
      <c r="Y318" s="12">
        <f>Table1[[#This Row],[LOAD K.M]]+Table1[[#This Row],[EMPTY K.M]]</f>
        <v>100</v>
      </c>
      <c r="Z318" s="12">
        <f>Table1[[#This Row],[INVOICE AMOUNT2]]-Table1[[#This Row],[Total Exp.]]</f>
        <v>-6000</v>
      </c>
      <c r="AA318" s="12">
        <f>Table1[[#This Row],[Total Exp.]]/Table1[[#This Row],[Total k.m]]</f>
        <v>60</v>
      </c>
      <c r="AB318" s="12">
        <f>Table1[[#This Row],[Profit/loss]]/Table1[[#This Row],[Total k.m]]</f>
        <v>-60</v>
      </c>
      <c r="AC318" s="12">
        <f>Table1[[#This Row],[INVOICE AMOUNT2]]/Table1[[#This Row],[Total k.m]]</f>
        <v>0</v>
      </c>
    </row>
    <row r="319" spans="1:29" x14ac:dyDescent="0.3">
      <c r="A319" s="51">
        <v>317</v>
      </c>
      <c r="B319" s="25" t="s">
        <v>680</v>
      </c>
      <c r="C319" s="12" t="s">
        <v>75</v>
      </c>
      <c r="D319" s="61">
        <v>46381</v>
      </c>
      <c r="E319" s="24" t="s">
        <v>739</v>
      </c>
      <c r="F319" s="12" t="s">
        <v>35</v>
      </c>
      <c r="G319" s="12" t="s">
        <v>250</v>
      </c>
      <c r="H319" s="12" t="s">
        <v>635</v>
      </c>
      <c r="I319" s="12"/>
      <c r="J319" s="12"/>
      <c r="K319" s="21">
        <v>30891</v>
      </c>
      <c r="L319" s="12"/>
      <c r="M319" s="12">
        <v>1500</v>
      </c>
      <c r="N319" s="12"/>
      <c r="O319" s="12"/>
      <c r="P319" s="12">
        <v>2000</v>
      </c>
      <c r="Q319" s="12">
        <v>1000</v>
      </c>
      <c r="R319" s="12"/>
      <c r="S319" s="12">
        <v>200</v>
      </c>
      <c r="T319" s="12"/>
      <c r="U319" s="12">
        <v>1320</v>
      </c>
      <c r="V319" s="12">
        <f t="shared" si="6"/>
        <v>36911</v>
      </c>
      <c r="W319" s="12">
        <v>857</v>
      </c>
      <c r="X319" s="12">
        <v>297</v>
      </c>
      <c r="Y319" s="12">
        <f>Table1[[#This Row],[LOAD K.M]]+Table1[[#This Row],[EMPTY K.M]]</f>
        <v>1154</v>
      </c>
      <c r="Z319" s="12">
        <f>Table1[[#This Row],[INVOICE AMOUNT2]]-Table1[[#This Row],[Total Exp.]]</f>
        <v>-36911</v>
      </c>
      <c r="AA319" s="12">
        <f>Table1[[#This Row],[Total Exp.]]/Table1[[#This Row],[Total k.m]]</f>
        <v>31.98526863084922</v>
      </c>
      <c r="AB319" s="12">
        <f>Table1[[#This Row],[Profit/loss]]/Table1[[#This Row],[Total k.m]]</f>
        <v>-31.98526863084922</v>
      </c>
      <c r="AC319" s="12">
        <f>Table1[[#This Row],[INVOICE AMOUNT2]]/Table1[[#This Row],[Total k.m]]</f>
        <v>0</v>
      </c>
    </row>
    <row r="320" spans="1:29" x14ac:dyDescent="0.3">
      <c r="A320" s="51">
        <v>318</v>
      </c>
      <c r="B320" s="25" t="s">
        <v>681</v>
      </c>
      <c r="C320" s="12" t="s">
        <v>72</v>
      </c>
      <c r="D320" s="61">
        <v>46381</v>
      </c>
      <c r="E320" s="24" t="s">
        <v>739</v>
      </c>
      <c r="F320" s="12" t="s">
        <v>35</v>
      </c>
      <c r="G320" s="12" t="s">
        <v>250</v>
      </c>
      <c r="H320" s="12" t="s">
        <v>240</v>
      </c>
      <c r="I320" s="12"/>
      <c r="J320" s="12"/>
      <c r="K320" s="21">
        <v>25744</v>
      </c>
      <c r="L320" s="12"/>
      <c r="M320" s="12">
        <v>3500</v>
      </c>
      <c r="N320" s="12"/>
      <c r="O320" s="12"/>
      <c r="P320" s="12">
        <v>2000</v>
      </c>
      <c r="Q320" s="12">
        <v>1000</v>
      </c>
      <c r="R320" s="12"/>
      <c r="S320" s="12">
        <v>600</v>
      </c>
      <c r="T320" s="12"/>
      <c r="U320" s="12"/>
      <c r="V320" s="12">
        <f t="shared" si="6"/>
        <v>32844</v>
      </c>
      <c r="W320" s="12">
        <v>496</v>
      </c>
      <c r="X320" s="12">
        <v>484</v>
      </c>
      <c r="Y320" s="12">
        <f>Table1[[#This Row],[LOAD K.M]]+Table1[[#This Row],[EMPTY K.M]]</f>
        <v>980</v>
      </c>
      <c r="Z320" s="12">
        <f>Table1[[#This Row],[INVOICE AMOUNT2]]-Table1[[#This Row],[Total Exp.]]</f>
        <v>-32844</v>
      </c>
      <c r="AA320" s="12">
        <f>Table1[[#This Row],[Total Exp.]]/Table1[[#This Row],[Total k.m]]</f>
        <v>33.514285714285712</v>
      </c>
      <c r="AB320" s="12">
        <f>Table1[[#This Row],[Profit/loss]]/Table1[[#This Row],[Total k.m]]</f>
        <v>-33.514285714285712</v>
      </c>
      <c r="AC320" s="12">
        <f>Table1[[#This Row],[INVOICE AMOUNT2]]/Table1[[#This Row],[Total k.m]]</f>
        <v>0</v>
      </c>
    </row>
    <row r="321" spans="1:29" x14ac:dyDescent="0.3">
      <c r="A321" s="13">
        <v>319</v>
      </c>
      <c r="B321" s="25" t="s">
        <v>682</v>
      </c>
      <c r="C321" s="12" t="s">
        <v>134</v>
      </c>
      <c r="D321" s="61">
        <v>46381</v>
      </c>
      <c r="E321" s="24" t="s">
        <v>739</v>
      </c>
      <c r="F321" s="12" t="s">
        <v>35</v>
      </c>
      <c r="G321" s="12" t="s">
        <v>36</v>
      </c>
      <c r="H321" s="12" t="s">
        <v>740</v>
      </c>
      <c r="I321" s="12"/>
      <c r="J321" s="12"/>
      <c r="K321" s="21">
        <v>54845</v>
      </c>
      <c r="L321" s="12"/>
      <c r="M321" s="12">
        <v>6000</v>
      </c>
      <c r="N321" s="12"/>
      <c r="O321" s="12"/>
      <c r="P321" s="12">
        <v>2000</v>
      </c>
      <c r="Q321" s="12">
        <v>1000</v>
      </c>
      <c r="R321" s="12"/>
      <c r="S321" s="12">
        <v>1500</v>
      </c>
      <c r="T321" s="12">
        <v>4000</v>
      </c>
      <c r="U321" s="12">
        <v>2635</v>
      </c>
      <c r="V321" s="12">
        <f t="shared" si="6"/>
        <v>71980</v>
      </c>
      <c r="W321" s="12">
        <v>1042</v>
      </c>
      <c r="X321" s="12">
        <v>1034</v>
      </c>
      <c r="Y321" s="12">
        <f>Table1[[#This Row],[LOAD K.M]]+Table1[[#This Row],[EMPTY K.M]]</f>
        <v>2076</v>
      </c>
      <c r="Z321" s="12">
        <f>Table1[[#This Row],[INVOICE AMOUNT2]]-Table1[[#This Row],[Total Exp.]]</f>
        <v>-71980</v>
      </c>
      <c r="AA321" s="12">
        <f>Table1[[#This Row],[Total Exp.]]/Table1[[#This Row],[Total k.m]]</f>
        <v>34.672447013487478</v>
      </c>
      <c r="AB321" s="12">
        <f>Table1[[#This Row],[Profit/loss]]/Table1[[#This Row],[Total k.m]]</f>
        <v>-34.672447013487478</v>
      </c>
      <c r="AC321" s="12">
        <f>Table1[[#This Row],[INVOICE AMOUNT2]]/Table1[[#This Row],[Total k.m]]</f>
        <v>0</v>
      </c>
    </row>
    <row r="322" spans="1:29" x14ac:dyDescent="0.3">
      <c r="A322" s="51">
        <v>320</v>
      </c>
      <c r="B322" s="25" t="s">
        <v>683</v>
      </c>
      <c r="C322" s="12" t="s">
        <v>69</v>
      </c>
      <c r="D322" s="61">
        <v>46381</v>
      </c>
      <c r="E322" s="24" t="s">
        <v>739</v>
      </c>
      <c r="F322" s="12" t="s">
        <v>35</v>
      </c>
      <c r="G322" s="12" t="s">
        <v>36</v>
      </c>
      <c r="H322" s="12" t="s">
        <v>70</v>
      </c>
      <c r="I322" s="12"/>
      <c r="J322" s="12"/>
      <c r="K322" s="27">
        <v>58007</v>
      </c>
      <c r="L322" s="12"/>
      <c r="M322" s="12">
        <v>4500</v>
      </c>
      <c r="N322" s="12"/>
      <c r="O322" s="12"/>
      <c r="P322" s="12">
        <v>2000</v>
      </c>
      <c r="Q322" s="12">
        <v>1000</v>
      </c>
      <c r="R322" s="12"/>
      <c r="S322" s="12"/>
      <c r="T322" s="12"/>
      <c r="U322" s="12">
        <v>2640</v>
      </c>
      <c r="V322" s="12">
        <f t="shared" si="6"/>
        <v>68147</v>
      </c>
      <c r="W322" s="12">
        <v>1298</v>
      </c>
      <c r="X322" s="12">
        <v>834</v>
      </c>
      <c r="Y322" s="12">
        <f>Table1[[#This Row],[LOAD K.M]]+Table1[[#This Row],[EMPTY K.M]]</f>
        <v>2132</v>
      </c>
      <c r="Z322" s="12">
        <f>Table1[[#This Row],[INVOICE AMOUNT2]]-Table1[[#This Row],[Total Exp.]]</f>
        <v>-68147</v>
      </c>
      <c r="AA322" s="12">
        <f>Table1[[#This Row],[Total Exp.]]/Table1[[#This Row],[Total k.m]]</f>
        <v>31.963883677298313</v>
      </c>
      <c r="AB322" s="12">
        <f>Table1[[#This Row],[Profit/loss]]/Table1[[#This Row],[Total k.m]]</f>
        <v>-31.963883677298313</v>
      </c>
      <c r="AC322" s="12">
        <f>Table1[[#This Row],[INVOICE AMOUNT2]]/Table1[[#This Row],[Total k.m]]</f>
        <v>0</v>
      </c>
    </row>
    <row r="323" spans="1:29" x14ac:dyDescent="0.3">
      <c r="A323" s="51">
        <v>321</v>
      </c>
      <c r="B323" s="25" t="s">
        <v>684</v>
      </c>
      <c r="C323" s="12" t="s">
        <v>87</v>
      </c>
      <c r="D323" s="61">
        <v>46381</v>
      </c>
      <c r="E323" s="24" t="s">
        <v>741</v>
      </c>
      <c r="F323" s="12" t="s">
        <v>35</v>
      </c>
      <c r="G323" s="12" t="s">
        <v>250</v>
      </c>
      <c r="H323" s="12" t="s">
        <v>85</v>
      </c>
      <c r="I323" s="12"/>
      <c r="J323" s="12"/>
      <c r="K323" s="27">
        <v>52509</v>
      </c>
      <c r="L323" s="12"/>
      <c r="M323" s="12">
        <v>4500</v>
      </c>
      <c r="N323" s="12"/>
      <c r="O323" s="12"/>
      <c r="P323" s="12">
        <v>2000</v>
      </c>
      <c r="Q323" s="12">
        <v>1500</v>
      </c>
      <c r="R323" s="12"/>
      <c r="S323" s="12">
        <v>200</v>
      </c>
      <c r="T323" s="12"/>
      <c r="U323" s="12"/>
      <c r="V323" s="12">
        <f t="shared" si="6"/>
        <v>60709</v>
      </c>
      <c r="W323" s="12">
        <v>1322</v>
      </c>
      <c r="X323" s="12">
        <v>635</v>
      </c>
      <c r="Y323" s="12">
        <f>Table1[[#This Row],[LOAD K.M]]+Table1[[#This Row],[EMPTY K.M]]</f>
        <v>1957</v>
      </c>
      <c r="Z323" s="12">
        <f>Table1[[#This Row],[INVOICE AMOUNT2]]-Table1[[#This Row],[Total Exp.]]</f>
        <v>-60709</v>
      </c>
      <c r="AA323" s="12">
        <f>Table1[[#This Row],[Total Exp.]]/Table1[[#This Row],[Total k.m]]</f>
        <v>31.021461420541645</v>
      </c>
      <c r="AB323" s="12">
        <f>Table1[[#This Row],[Profit/loss]]/Table1[[#This Row],[Total k.m]]</f>
        <v>-31.021461420541645</v>
      </c>
      <c r="AC323" s="12">
        <f>Table1[[#This Row],[INVOICE AMOUNT2]]/Table1[[#This Row],[Total k.m]]</f>
        <v>0</v>
      </c>
    </row>
    <row r="324" spans="1:29" x14ac:dyDescent="0.3">
      <c r="A324" s="13">
        <v>322</v>
      </c>
      <c r="B324" s="25" t="s">
        <v>685</v>
      </c>
      <c r="C324" s="12" t="s">
        <v>39</v>
      </c>
      <c r="D324" s="61">
        <v>46381</v>
      </c>
      <c r="E324" s="24" t="s">
        <v>741</v>
      </c>
      <c r="F324" s="12" t="s">
        <v>35</v>
      </c>
      <c r="G324" s="12" t="s">
        <v>250</v>
      </c>
      <c r="H324" s="12" t="s">
        <v>644</v>
      </c>
      <c r="I324" s="12"/>
      <c r="J324" s="12"/>
      <c r="K324" s="21">
        <v>87053</v>
      </c>
      <c r="L324" s="12"/>
      <c r="M324" s="12">
        <v>7600</v>
      </c>
      <c r="N324" s="12"/>
      <c r="O324" s="12"/>
      <c r="P324" s="12">
        <v>2000</v>
      </c>
      <c r="Q324" s="12">
        <v>1000</v>
      </c>
      <c r="R324" s="12"/>
      <c r="S324" s="12">
        <v>400</v>
      </c>
      <c r="T324" s="12">
        <v>4500</v>
      </c>
      <c r="U324" s="12">
        <v>2640</v>
      </c>
      <c r="V324" s="12">
        <f t="shared" si="6"/>
        <v>105193</v>
      </c>
      <c r="W324" s="12">
        <v>2453</v>
      </c>
      <c r="X324" s="12">
        <v>752</v>
      </c>
      <c r="Y324" s="12">
        <f>Table1[[#This Row],[LOAD K.M]]+Table1[[#This Row],[EMPTY K.M]]</f>
        <v>3205</v>
      </c>
      <c r="Z324" s="12">
        <f>Table1[[#This Row],[INVOICE AMOUNT2]]-Table1[[#This Row],[Total Exp.]]</f>
        <v>-105193</v>
      </c>
      <c r="AA324" s="12">
        <f>Table1[[#This Row],[Total Exp.]]/Table1[[#This Row],[Total k.m]]</f>
        <v>32.821528861154448</v>
      </c>
      <c r="AB324" s="12">
        <f>Table1[[#This Row],[Profit/loss]]/Table1[[#This Row],[Total k.m]]</f>
        <v>-32.821528861154448</v>
      </c>
      <c r="AC324" s="12">
        <f>Table1[[#This Row],[INVOICE AMOUNT2]]/Table1[[#This Row],[Total k.m]]</f>
        <v>0</v>
      </c>
    </row>
    <row r="325" spans="1:29" x14ac:dyDescent="0.3">
      <c r="A325" s="51">
        <v>323</v>
      </c>
      <c r="B325" s="25" t="s">
        <v>686</v>
      </c>
      <c r="C325" s="12" t="s">
        <v>63</v>
      </c>
      <c r="D325" s="61">
        <v>46381</v>
      </c>
      <c r="E325" s="24" t="s">
        <v>741</v>
      </c>
      <c r="F325" s="12" t="s">
        <v>35</v>
      </c>
      <c r="G325" s="12" t="s">
        <v>250</v>
      </c>
      <c r="H325" s="12" t="s">
        <v>395</v>
      </c>
      <c r="I325" s="12"/>
      <c r="J325" s="12"/>
      <c r="K325" s="21">
        <v>41631</v>
      </c>
      <c r="L325" s="12"/>
      <c r="M325" s="12">
        <v>4000</v>
      </c>
      <c r="N325" s="12"/>
      <c r="O325" s="12"/>
      <c r="P325" s="12">
        <v>2000</v>
      </c>
      <c r="Q325" s="12">
        <v>1000</v>
      </c>
      <c r="R325" s="12"/>
      <c r="S325" s="12"/>
      <c r="T325" s="12"/>
      <c r="U325" s="12">
        <v>1320</v>
      </c>
      <c r="V325" s="12">
        <f t="shared" si="6"/>
        <v>49951</v>
      </c>
      <c r="W325" s="12">
        <v>1147</v>
      </c>
      <c r="X325" s="12">
        <v>406</v>
      </c>
      <c r="Y325" s="12">
        <f>Table1[[#This Row],[LOAD K.M]]+Table1[[#This Row],[EMPTY K.M]]</f>
        <v>1553</v>
      </c>
      <c r="Z325" s="12">
        <f>Table1[[#This Row],[INVOICE AMOUNT2]]-Table1[[#This Row],[Total Exp.]]</f>
        <v>-49951</v>
      </c>
      <c r="AA325" s="12">
        <f>Table1[[#This Row],[Total Exp.]]/Table1[[#This Row],[Total k.m]]</f>
        <v>32.16419832582099</v>
      </c>
      <c r="AB325" s="12">
        <f>Table1[[#This Row],[Profit/loss]]/Table1[[#This Row],[Total k.m]]</f>
        <v>-32.16419832582099</v>
      </c>
      <c r="AC325" s="12">
        <f>Table1[[#This Row],[INVOICE AMOUNT2]]/Table1[[#This Row],[Total k.m]]</f>
        <v>0</v>
      </c>
    </row>
    <row r="326" spans="1:29" x14ac:dyDescent="0.3">
      <c r="A326" s="51">
        <v>324</v>
      </c>
      <c r="B326" s="25" t="s">
        <v>687</v>
      </c>
      <c r="C326" s="12" t="s">
        <v>82</v>
      </c>
      <c r="D326" s="61">
        <v>46381</v>
      </c>
      <c r="E326" s="24" t="s">
        <v>741</v>
      </c>
      <c r="F326" s="12" t="s">
        <v>65</v>
      </c>
      <c r="G326" s="12" t="s">
        <v>66</v>
      </c>
      <c r="H326" s="12" t="s">
        <v>410</v>
      </c>
      <c r="I326" s="12"/>
      <c r="J326" s="12"/>
      <c r="K326" s="21">
        <v>56217</v>
      </c>
      <c r="L326" s="12"/>
      <c r="M326" s="12">
        <v>6000</v>
      </c>
      <c r="N326" s="12"/>
      <c r="O326" s="12"/>
      <c r="P326" s="12">
        <v>2000</v>
      </c>
      <c r="Q326" s="12">
        <v>1000</v>
      </c>
      <c r="R326" s="12"/>
      <c r="S326" s="12">
        <v>600</v>
      </c>
      <c r="T326" s="12"/>
      <c r="U326" s="12">
        <v>2580</v>
      </c>
      <c r="V326" s="12">
        <f t="shared" si="6"/>
        <v>68397</v>
      </c>
      <c r="W326" s="12">
        <v>1875</v>
      </c>
      <c r="X326" s="12">
        <v>157</v>
      </c>
      <c r="Y326" s="12">
        <f>Table1[[#This Row],[LOAD K.M]]+Table1[[#This Row],[EMPTY K.M]]</f>
        <v>2032</v>
      </c>
      <c r="Z326" s="12">
        <f>Table1[[#This Row],[INVOICE AMOUNT2]]-Table1[[#This Row],[Total Exp.]]</f>
        <v>-68397</v>
      </c>
      <c r="AA326" s="12">
        <f>Table1[[#This Row],[Total Exp.]]/Table1[[#This Row],[Total k.m]]</f>
        <v>33.659940944881889</v>
      </c>
      <c r="AB326" s="12">
        <f>Table1[[#This Row],[Profit/loss]]/Table1[[#This Row],[Total k.m]]</f>
        <v>-33.659940944881889</v>
      </c>
      <c r="AC326" s="12">
        <f>Table1[[#This Row],[INVOICE AMOUNT2]]/Table1[[#This Row],[Total k.m]]</f>
        <v>0</v>
      </c>
    </row>
    <row r="327" spans="1:29" x14ac:dyDescent="0.3">
      <c r="A327" s="13">
        <v>325</v>
      </c>
      <c r="B327" s="25" t="s">
        <v>688</v>
      </c>
      <c r="C327" s="12" t="s">
        <v>59</v>
      </c>
      <c r="D327" s="61">
        <v>46381</v>
      </c>
      <c r="E327" s="24" t="s">
        <v>741</v>
      </c>
      <c r="F327" s="12" t="s">
        <v>35</v>
      </c>
      <c r="G327" s="12" t="s">
        <v>631</v>
      </c>
      <c r="H327" s="12" t="s">
        <v>326</v>
      </c>
      <c r="I327" s="12"/>
      <c r="J327" s="12"/>
      <c r="K327" s="21">
        <v>43982</v>
      </c>
      <c r="L327" s="12"/>
      <c r="M327" s="12">
        <v>2500</v>
      </c>
      <c r="N327" s="12"/>
      <c r="O327" s="12"/>
      <c r="P327" s="12">
        <v>2000</v>
      </c>
      <c r="Q327" s="12">
        <v>1000</v>
      </c>
      <c r="R327" s="12"/>
      <c r="S327" s="12"/>
      <c r="T327" s="12"/>
      <c r="U327" s="12"/>
      <c r="V327" s="12">
        <f t="shared" si="6"/>
        <v>49482</v>
      </c>
      <c r="W327" s="12">
        <v>852</v>
      </c>
      <c r="X327" s="12">
        <v>849</v>
      </c>
      <c r="Y327" s="12">
        <f>Table1[[#This Row],[LOAD K.M]]+Table1[[#This Row],[EMPTY K.M]]</f>
        <v>1701</v>
      </c>
      <c r="Z327" s="12">
        <f>Table1[[#This Row],[INVOICE AMOUNT2]]-Table1[[#This Row],[Total Exp.]]</f>
        <v>-49482</v>
      </c>
      <c r="AA327" s="12">
        <f>Table1[[#This Row],[Total Exp.]]/Table1[[#This Row],[Total k.m]]</f>
        <v>29.089947089947088</v>
      </c>
      <c r="AB327" s="12">
        <f>Table1[[#This Row],[Profit/loss]]/Table1[[#This Row],[Total k.m]]</f>
        <v>-29.089947089947088</v>
      </c>
      <c r="AC327" s="12">
        <f>Table1[[#This Row],[INVOICE AMOUNT2]]/Table1[[#This Row],[Total k.m]]</f>
        <v>0</v>
      </c>
    </row>
    <row r="328" spans="1:29" x14ac:dyDescent="0.3">
      <c r="A328" s="51">
        <v>326</v>
      </c>
      <c r="B328" s="25" t="s">
        <v>689</v>
      </c>
      <c r="C328" s="12" t="s">
        <v>29</v>
      </c>
      <c r="D328" s="61">
        <v>46381</v>
      </c>
      <c r="E328" s="24" t="s">
        <v>741</v>
      </c>
      <c r="F328" s="12" t="s">
        <v>742</v>
      </c>
      <c r="G328" s="12" t="s">
        <v>197</v>
      </c>
      <c r="H328" s="12" t="s">
        <v>743</v>
      </c>
      <c r="I328" s="12"/>
      <c r="J328" s="12"/>
      <c r="K328" s="21">
        <v>25056</v>
      </c>
      <c r="L328" s="12"/>
      <c r="M328" s="12">
        <v>3500</v>
      </c>
      <c r="N328" s="12"/>
      <c r="O328" s="12">
        <v>2372</v>
      </c>
      <c r="P328" s="12">
        <v>2000</v>
      </c>
      <c r="Q328" s="12">
        <v>1000</v>
      </c>
      <c r="R328" s="12">
        <v>1000</v>
      </c>
      <c r="S328" s="12">
        <v>600</v>
      </c>
      <c r="T328" s="12">
        <v>813</v>
      </c>
      <c r="U328" s="12"/>
      <c r="V328" s="12">
        <f t="shared" si="6"/>
        <v>36341</v>
      </c>
      <c r="W328" s="12">
        <v>903</v>
      </c>
      <c r="X328" s="12"/>
      <c r="Y328" s="12">
        <f>Table1[[#This Row],[LOAD K.M]]+Table1[[#This Row],[EMPTY K.M]]</f>
        <v>903</v>
      </c>
      <c r="Z328" s="12">
        <f>Table1[[#This Row],[INVOICE AMOUNT2]]-Table1[[#This Row],[Total Exp.]]</f>
        <v>-36341</v>
      </c>
      <c r="AA328" s="12">
        <f>Table1[[#This Row],[Total Exp.]]/Table1[[#This Row],[Total k.m]]</f>
        <v>40.244739756367665</v>
      </c>
      <c r="AB328" s="12">
        <f>Table1[[#This Row],[Profit/loss]]/Table1[[#This Row],[Total k.m]]</f>
        <v>-40.244739756367665</v>
      </c>
      <c r="AC328" s="12">
        <f>Table1[[#This Row],[INVOICE AMOUNT2]]/Table1[[#This Row],[Total k.m]]</f>
        <v>0</v>
      </c>
    </row>
    <row r="329" spans="1:29" x14ac:dyDescent="0.3">
      <c r="A329" s="51">
        <v>327</v>
      </c>
      <c r="B329" s="25" t="s">
        <v>690</v>
      </c>
      <c r="C329" s="12" t="s">
        <v>77</v>
      </c>
      <c r="D329" s="61">
        <v>46381</v>
      </c>
      <c r="E329" s="24" t="s">
        <v>744</v>
      </c>
      <c r="F329" s="12" t="s">
        <v>65</v>
      </c>
      <c r="G329" s="12" t="s">
        <v>66</v>
      </c>
      <c r="H329" s="12" t="s">
        <v>154</v>
      </c>
      <c r="I329" s="12"/>
      <c r="J329" s="12"/>
      <c r="K329" s="21">
        <v>67521</v>
      </c>
      <c r="L329" s="12"/>
      <c r="M329" s="12">
        <v>10000</v>
      </c>
      <c r="N329" s="12"/>
      <c r="O329" s="12"/>
      <c r="P329" s="12">
        <v>2000</v>
      </c>
      <c r="Q329" s="12">
        <v>1000</v>
      </c>
      <c r="R329" s="12"/>
      <c r="S329" s="12">
        <v>1050</v>
      </c>
      <c r="T329" s="12"/>
      <c r="U329" s="12">
        <v>2640</v>
      </c>
      <c r="V329" s="12">
        <f t="shared" si="6"/>
        <v>84211</v>
      </c>
      <c r="W329" s="12">
        <v>2119</v>
      </c>
      <c r="X329" s="12">
        <v>385</v>
      </c>
      <c r="Y329" s="12">
        <f>Table1[[#This Row],[LOAD K.M]]+Table1[[#This Row],[EMPTY K.M]]</f>
        <v>2504</v>
      </c>
      <c r="Z329" s="12">
        <f>Table1[[#This Row],[INVOICE AMOUNT2]]-Table1[[#This Row],[Total Exp.]]</f>
        <v>-84211</v>
      </c>
      <c r="AA329" s="12">
        <f>Table1[[#This Row],[Total Exp.]]/Table1[[#This Row],[Total k.m]]</f>
        <v>33.630591054313101</v>
      </c>
      <c r="AB329" s="12">
        <f>Table1[[#This Row],[Profit/loss]]/Table1[[#This Row],[Total k.m]]</f>
        <v>-33.630591054313101</v>
      </c>
      <c r="AC329" s="12">
        <f>Table1[[#This Row],[INVOICE AMOUNT2]]/Table1[[#This Row],[Total k.m]]</f>
        <v>0</v>
      </c>
    </row>
    <row r="330" spans="1:29" x14ac:dyDescent="0.3">
      <c r="A330" s="13">
        <v>328</v>
      </c>
      <c r="B330" s="25" t="s">
        <v>691</v>
      </c>
      <c r="C330" s="12" t="s">
        <v>84</v>
      </c>
      <c r="D330" s="61">
        <v>46381</v>
      </c>
      <c r="E330" s="24" t="s">
        <v>745</v>
      </c>
      <c r="F330" s="12" t="s">
        <v>35</v>
      </c>
      <c r="G330" s="12" t="s">
        <v>36</v>
      </c>
      <c r="H330" s="12" t="s">
        <v>70</v>
      </c>
      <c r="I330" s="12"/>
      <c r="J330" s="12"/>
      <c r="K330" s="21">
        <v>67359</v>
      </c>
      <c r="L330" s="12"/>
      <c r="M330" s="12">
        <v>4500</v>
      </c>
      <c r="N330" s="12"/>
      <c r="O330" s="12"/>
      <c r="P330" s="12">
        <v>2000</v>
      </c>
      <c r="Q330" s="12">
        <v>1000</v>
      </c>
      <c r="R330" s="12"/>
      <c r="S330" s="12">
        <v>400</v>
      </c>
      <c r="T330" s="12"/>
      <c r="U330" s="12">
        <v>2640</v>
      </c>
      <c r="V330" s="12">
        <f t="shared" si="6"/>
        <v>77899</v>
      </c>
      <c r="W330" s="12">
        <v>1293</v>
      </c>
      <c r="X330" s="12">
        <v>1203</v>
      </c>
      <c r="Y330" s="12">
        <f>Table1[[#This Row],[LOAD K.M]]+Table1[[#This Row],[EMPTY K.M]]</f>
        <v>2496</v>
      </c>
      <c r="Z330" s="12">
        <f>Table1[[#This Row],[INVOICE AMOUNT2]]-Table1[[#This Row],[Total Exp.]]</f>
        <v>-77899</v>
      </c>
      <c r="AA330" s="12">
        <f>Table1[[#This Row],[Total Exp.]]/Table1[[#This Row],[Total k.m]]</f>
        <v>31.209535256410255</v>
      </c>
      <c r="AB330" s="12">
        <f>Table1[[#This Row],[Profit/loss]]/Table1[[#This Row],[Total k.m]]</f>
        <v>-31.209535256410255</v>
      </c>
      <c r="AC330" s="12">
        <f>Table1[[#This Row],[INVOICE AMOUNT2]]/Table1[[#This Row],[Total k.m]]</f>
        <v>0</v>
      </c>
    </row>
    <row r="331" spans="1:29" x14ac:dyDescent="0.3">
      <c r="A331" s="51">
        <v>329</v>
      </c>
      <c r="B331" s="25" t="s">
        <v>692</v>
      </c>
      <c r="C331" s="12" t="s">
        <v>29</v>
      </c>
      <c r="D331" s="61">
        <v>46381</v>
      </c>
      <c r="E331" s="24" t="s">
        <v>745</v>
      </c>
      <c r="F331" s="12" t="s">
        <v>742</v>
      </c>
      <c r="G331" s="12" t="s">
        <v>743</v>
      </c>
      <c r="H331" s="12" t="s">
        <v>746</v>
      </c>
      <c r="I331" s="12"/>
      <c r="J331" s="12"/>
      <c r="K331" s="21">
        <v>26259</v>
      </c>
      <c r="L331" s="12"/>
      <c r="M331" s="12">
        <v>1500</v>
      </c>
      <c r="N331" s="12"/>
      <c r="O331" s="12">
        <v>1600</v>
      </c>
      <c r="P331" s="12">
        <v>2000</v>
      </c>
      <c r="Q331" s="12">
        <v>1000</v>
      </c>
      <c r="R331" s="12"/>
      <c r="S331" s="12"/>
      <c r="T331" s="12"/>
      <c r="U331" s="12">
        <v>1500</v>
      </c>
      <c r="V331" s="12">
        <f t="shared" si="6"/>
        <v>33859</v>
      </c>
      <c r="W331" s="12">
        <v>882</v>
      </c>
      <c r="X331" s="12">
        <v>83</v>
      </c>
      <c r="Y331" s="12">
        <f>Table1[[#This Row],[LOAD K.M]]+Table1[[#This Row],[EMPTY K.M]]</f>
        <v>965</v>
      </c>
      <c r="Z331" s="12">
        <f>Table1[[#This Row],[INVOICE AMOUNT2]]-Table1[[#This Row],[Total Exp.]]</f>
        <v>-33859</v>
      </c>
      <c r="AA331" s="12">
        <f>Table1[[#This Row],[Total Exp.]]/Table1[[#This Row],[Total k.m]]</f>
        <v>35.087046632124355</v>
      </c>
      <c r="AB331" s="12">
        <f>Table1[[#This Row],[Profit/loss]]/Table1[[#This Row],[Total k.m]]</f>
        <v>-35.087046632124355</v>
      </c>
      <c r="AC331" s="12">
        <f>Table1[[#This Row],[INVOICE AMOUNT2]]/Table1[[#This Row],[Total k.m]]</f>
        <v>0</v>
      </c>
    </row>
    <row r="332" spans="1:29" x14ac:dyDescent="0.3">
      <c r="A332" s="51">
        <v>330</v>
      </c>
      <c r="B332" s="25" t="s">
        <v>693</v>
      </c>
      <c r="C332" s="12" t="s">
        <v>102</v>
      </c>
      <c r="D332" s="61">
        <v>46381</v>
      </c>
      <c r="E332" s="24" t="s">
        <v>745</v>
      </c>
      <c r="F332" s="12" t="s">
        <v>35</v>
      </c>
      <c r="G332" s="12" t="s">
        <v>250</v>
      </c>
      <c r="H332" s="12" t="s">
        <v>747</v>
      </c>
      <c r="I332" s="12"/>
      <c r="J332" s="12"/>
      <c r="K332" s="21">
        <v>64632</v>
      </c>
      <c r="L332" s="12"/>
      <c r="M332" s="12">
        <v>6000</v>
      </c>
      <c r="N332" s="12"/>
      <c r="O332" s="12"/>
      <c r="P332" s="12">
        <v>2000</v>
      </c>
      <c r="Q332" s="12">
        <v>1000</v>
      </c>
      <c r="R332" s="12"/>
      <c r="S332" s="12">
        <v>600</v>
      </c>
      <c r="T332" s="12"/>
      <c r="U332" s="12">
        <v>3960</v>
      </c>
      <c r="V332" s="12">
        <f t="shared" si="6"/>
        <v>78192</v>
      </c>
      <c r="W332" s="12">
        <v>1935</v>
      </c>
      <c r="X332" s="12">
        <v>445</v>
      </c>
      <c r="Y332" s="12">
        <f>Table1[[#This Row],[LOAD K.M]]+Table1[[#This Row],[EMPTY K.M]]</f>
        <v>2380</v>
      </c>
      <c r="Z332" s="12">
        <f>Table1[[#This Row],[INVOICE AMOUNT2]]-Table1[[#This Row],[Total Exp.]]</f>
        <v>-78192</v>
      </c>
      <c r="AA332" s="12">
        <f>Table1[[#This Row],[Total Exp.]]/Table1[[#This Row],[Total k.m]]</f>
        <v>32.853781512605039</v>
      </c>
      <c r="AB332" s="12">
        <f>Table1[[#This Row],[Profit/loss]]/Table1[[#This Row],[Total k.m]]</f>
        <v>-32.853781512605039</v>
      </c>
      <c r="AC332" s="12">
        <f>Table1[[#This Row],[INVOICE AMOUNT2]]/Table1[[#This Row],[Total k.m]]</f>
        <v>0</v>
      </c>
    </row>
    <row r="333" spans="1:29" x14ac:dyDescent="0.3">
      <c r="A333" s="13">
        <v>331</v>
      </c>
      <c r="B333" s="25" t="s">
        <v>694</v>
      </c>
      <c r="C333" s="12" t="s">
        <v>72</v>
      </c>
      <c r="D333" s="61">
        <v>46381</v>
      </c>
      <c r="E333" s="24" t="s">
        <v>745</v>
      </c>
      <c r="F333" s="12" t="s">
        <v>35</v>
      </c>
      <c r="G333" s="12" t="s">
        <v>250</v>
      </c>
      <c r="H333" s="12" t="s">
        <v>194</v>
      </c>
      <c r="I333" s="12"/>
      <c r="J333" s="12"/>
      <c r="K333" s="21">
        <v>54046</v>
      </c>
      <c r="L333" s="12"/>
      <c r="M333" s="12">
        <v>1500</v>
      </c>
      <c r="N333" s="12"/>
      <c r="O333" s="12"/>
      <c r="P333" s="12">
        <v>2000</v>
      </c>
      <c r="Q333" s="12">
        <v>1000</v>
      </c>
      <c r="R333" s="12"/>
      <c r="S333" s="12">
        <v>550</v>
      </c>
      <c r="T333" s="12"/>
      <c r="U333" s="12">
        <v>2640</v>
      </c>
      <c r="V333" s="12">
        <f t="shared" si="6"/>
        <v>61736</v>
      </c>
      <c r="W333" s="12">
        <v>1200</v>
      </c>
      <c r="X333" s="12">
        <v>841</v>
      </c>
      <c r="Y333" s="12">
        <f>Table1[[#This Row],[LOAD K.M]]+Table1[[#This Row],[EMPTY K.M]]</f>
        <v>2041</v>
      </c>
      <c r="Z333" s="12">
        <f>Table1[[#This Row],[INVOICE AMOUNT2]]-Table1[[#This Row],[Total Exp.]]</f>
        <v>-61736</v>
      </c>
      <c r="AA333" s="12">
        <f>Table1[[#This Row],[Total Exp.]]/Table1[[#This Row],[Total k.m]]</f>
        <v>30.247917687408133</v>
      </c>
      <c r="AB333" s="12">
        <f>Table1[[#This Row],[Profit/loss]]/Table1[[#This Row],[Total k.m]]</f>
        <v>-30.247917687408133</v>
      </c>
      <c r="AC333" s="12">
        <f>Table1[[#This Row],[INVOICE AMOUNT2]]/Table1[[#This Row],[Total k.m]]</f>
        <v>0</v>
      </c>
    </row>
    <row r="334" spans="1:29" x14ac:dyDescent="0.3">
      <c r="A334" s="51">
        <v>332</v>
      </c>
      <c r="B334" s="25" t="s">
        <v>695</v>
      </c>
      <c r="C334" s="12" t="s">
        <v>109</v>
      </c>
      <c r="D334" s="61">
        <v>46381</v>
      </c>
      <c r="E334" s="24" t="s">
        <v>748</v>
      </c>
      <c r="F334" s="12" t="s">
        <v>65</v>
      </c>
      <c r="G334" s="12" t="s">
        <v>66</v>
      </c>
      <c r="H334" s="12" t="s">
        <v>115</v>
      </c>
      <c r="I334" s="12"/>
      <c r="J334" s="12"/>
      <c r="K334" s="12">
        <v>5500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>
        <f t="shared" si="6"/>
        <v>5500</v>
      </c>
      <c r="W334" s="12">
        <v>45</v>
      </c>
      <c r="X334" s="12">
        <v>38</v>
      </c>
      <c r="Y334" s="12">
        <f>Table1[[#This Row],[LOAD K.M]]+Table1[[#This Row],[EMPTY K.M]]</f>
        <v>83</v>
      </c>
      <c r="Z334" s="12">
        <f>Table1[[#This Row],[INVOICE AMOUNT2]]-Table1[[#This Row],[Total Exp.]]</f>
        <v>-5500</v>
      </c>
      <c r="AA334" s="12">
        <f>Table1[[#This Row],[Total Exp.]]/Table1[[#This Row],[Total k.m]]</f>
        <v>66.265060240963862</v>
      </c>
      <c r="AB334" s="12">
        <f>Table1[[#This Row],[Profit/loss]]/Table1[[#This Row],[Total k.m]]</f>
        <v>-66.265060240963862</v>
      </c>
      <c r="AC334" s="12">
        <f>Table1[[#This Row],[INVOICE AMOUNT2]]/Table1[[#This Row],[Total k.m]]</f>
        <v>0</v>
      </c>
    </row>
    <row r="335" spans="1:29" x14ac:dyDescent="0.3">
      <c r="A335" s="51">
        <v>333</v>
      </c>
      <c r="B335" s="25" t="s">
        <v>696</v>
      </c>
      <c r="C335" s="12" t="s">
        <v>109</v>
      </c>
      <c r="D335" s="61">
        <v>46381</v>
      </c>
      <c r="E335" s="24" t="s">
        <v>751</v>
      </c>
      <c r="F335" s="12" t="s">
        <v>65</v>
      </c>
      <c r="G335" s="12" t="s">
        <v>66</v>
      </c>
      <c r="H335" s="12" t="s">
        <v>36</v>
      </c>
      <c r="I335" s="12"/>
      <c r="J335" s="12"/>
      <c r="K335" s="21">
        <v>36390</v>
      </c>
      <c r="L335" s="12"/>
      <c r="M335" s="12">
        <v>4500</v>
      </c>
      <c r="N335" s="12"/>
      <c r="O335" s="12"/>
      <c r="P335" s="12">
        <v>2000</v>
      </c>
      <c r="Q335" s="12">
        <v>1000</v>
      </c>
      <c r="R335" s="12"/>
      <c r="S335" s="12">
        <v>450</v>
      </c>
      <c r="T335" s="12"/>
      <c r="U335" s="12">
        <v>1500</v>
      </c>
      <c r="V335" s="12">
        <f t="shared" si="6"/>
        <v>45840</v>
      </c>
      <c r="W335" s="12">
        <v>1256</v>
      </c>
      <c r="X335" s="12">
        <v>52</v>
      </c>
      <c r="Y335" s="12">
        <f>Table1[[#This Row],[LOAD K.M]]+Table1[[#This Row],[EMPTY K.M]]</f>
        <v>1308</v>
      </c>
      <c r="Z335" s="12">
        <f>Table1[[#This Row],[INVOICE AMOUNT2]]-Table1[[#This Row],[Total Exp.]]</f>
        <v>-45840</v>
      </c>
      <c r="AA335" s="12">
        <f>Table1[[#This Row],[Total Exp.]]/Table1[[#This Row],[Total k.m]]</f>
        <v>35.045871559633028</v>
      </c>
      <c r="AB335" s="12">
        <f>Table1[[#This Row],[Profit/loss]]/Table1[[#This Row],[Total k.m]]</f>
        <v>-35.045871559633028</v>
      </c>
      <c r="AC335" s="12">
        <f>Table1[[#This Row],[INVOICE AMOUNT2]]/Table1[[#This Row],[Total k.m]]</f>
        <v>0</v>
      </c>
    </row>
    <row r="336" spans="1:29" x14ac:dyDescent="0.3">
      <c r="A336" s="13">
        <v>334</v>
      </c>
      <c r="B336" s="25" t="s">
        <v>697</v>
      </c>
      <c r="C336" s="12" t="s">
        <v>59</v>
      </c>
      <c r="D336" s="61">
        <v>46381</v>
      </c>
      <c r="E336" s="24" t="s">
        <v>751</v>
      </c>
      <c r="F336" s="12" t="s">
        <v>35</v>
      </c>
      <c r="G336" s="12" t="s">
        <v>250</v>
      </c>
      <c r="H336" s="12" t="s">
        <v>749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>
        <f t="shared" si="6"/>
        <v>0</v>
      </c>
      <c r="W336" s="12"/>
      <c r="X336" s="12"/>
      <c r="Y336" s="12">
        <f>Table1[[#This Row],[LOAD K.M]]+Table1[[#This Row],[EMPTY K.M]]</f>
        <v>0</v>
      </c>
      <c r="Z336" s="12">
        <f>Table1[[#This Row],[INVOICE AMOUNT2]]-Table1[[#This Row],[Total Exp.]]</f>
        <v>0</v>
      </c>
      <c r="AA336" s="12" t="e">
        <f>Table1[[#This Row],[Total Exp.]]/Table1[[#This Row],[Total k.m]]</f>
        <v>#DIV/0!</v>
      </c>
      <c r="AB336" s="12" t="e">
        <f>Table1[[#This Row],[Profit/loss]]/Table1[[#This Row],[Total k.m]]</f>
        <v>#DIV/0!</v>
      </c>
      <c r="AC336" s="12" t="e">
        <f>Table1[[#This Row],[INVOICE AMOUNT2]]/Table1[[#This Row],[Total k.m]]</f>
        <v>#DIV/0!</v>
      </c>
    </row>
    <row r="337" spans="1:29" x14ac:dyDescent="0.3">
      <c r="A337" s="51">
        <v>335</v>
      </c>
      <c r="B337" s="25" t="s">
        <v>698</v>
      </c>
      <c r="C337" s="12" t="s">
        <v>34</v>
      </c>
      <c r="D337" s="61">
        <v>46381</v>
      </c>
      <c r="E337" s="24" t="s">
        <v>751</v>
      </c>
      <c r="F337" s="12" t="s">
        <v>65</v>
      </c>
      <c r="G337" s="12" t="s">
        <v>66</v>
      </c>
      <c r="H337" s="12" t="s">
        <v>750</v>
      </c>
      <c r="I337" s="12"/>
      <c r="J337" s="12"/>
      <c r="K337" s="21">
        <v>36855</v>
      </c>
      <c r="L337" s="12"/>
      <c r="M337" s="12">
        <v>4500</v>
      </c>
      <c r="N337" s="12"/>
      <c r="O337" s="12">
        <v>900</v>
      </c>
      <c r="P337" s="12">
        <v>2000</v>
      </c>
      <c r="Q337" s="12">
        <v>1000</v>
      </c>
      <c r="R337" s="12"/>
      <c r="S337" s="12">
        <v>2100</v>
      </c>
      <c r="T337" s="12"/>
      <c r="U337" s="12">
        <v>1320</v>
      </c>
      <c r="V337" s="12">
        <f t="shared" si="6"/>
        <v>48675</v>
      </c>
      <c r="W337" s="12">
        <v>1196</v>
      </c>
      <c r="X337" s="12">
        <v>132</v>
      </c>
      <c r="Y337" s="12">
        <f>Table1[[#This Row],[LOAD K.M]]+Table1[[#This Row],[EMPTY K.M]]</f>
        <v>1328</v>
      </c>
      <c r="Z337" s="12">
        <f>Table1[[#This Row],[INVOICE AMOUNT2]]-Table1[[#This Row],[Total Exp.]]</f>
        <v>-48675</v>
      </c>
      <c r="AA337" s="12">
        <f>Table1[[#This Row],[Total Exp.]]/Table1[[#This Row],[Total k.m]]</f>
        <v>36.652861445783131</v>
      </c>
      <c r="AB337" s="12">
        <f>Table1[[#This Row],[Profit/loss]]/Table1[[#This Row],[Total k.m]]</f>
        <v>-36.652861445783131</v>
      </c>
      <c r="AC337" s="12">
        <f>Table1[[#This Row],[INVOICE AMOUNT2]]/Table1[[#This Row],[Total k.m]]</f>
        <v>0</v>
      </c>
    </row>
    <row r="338" spans="1:29" x14ac:dyDescent="0.3">
      <c r="A338" s="51">
        <v>336</v>
      </c>
      <c r="B338" s="25" t="s">
        <v>699</v>
      </c>
      <c r="C338" s="12" t="s">
        <v>105</v>
      </c>
      <c r="D338" s="61">
        <v>46381</v>
      </c>
      <c r="E338" s="24" t="s">
        <v>751</v>
      </c>
      <c r="F338" s="12" t="s">
        <v>65</v>
      </c>
      <c r="G338" s="12" t="s">
        <v>66</v>
      </c>
      <c r="H338" s="12" t="s">
        <v>32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>
        <f t="shared" si="6"/>
        <v>0</v>
      </c>
      <c r="W338" s="12"/>
      <c r="X338" s="12"/>
      <c r="Y338" s="12">
        <f>Table1[[#This Row],[LOAD K.M]]+Table1[[#This Row],[EMPTY K.M]]</f>
        <v>0</v>
      </c>
      <c r="Z338" s="12">
        <f>Table1[[#This Row],[INVOICE AMOUNT2]]-Table1[[#This Row],[Total Exp.]]</f>
        <v>0</v>
      </c>
      <c r="AA338" s="12" t="e">
        <f>Table1[[#This Row],[Total Exp.]]/Table1[[#This Row],[Total k.m]]</f>
        <v>#DIV/0!</v>
      </c>
      <c r="AB338" s="12" t="e">
        <f>Table1[[#This Row],[Profit/loss]]/Table1[[#This Row],[Total k.m]]</f>
        <v>#DIV/0!</v>
      </c>
      <c r="AC338" s="12" t="e">
        <f>Table1[[#This Row],[INVOICE AMOUNT2]]/Table1[[#This Row],[Total k.m]]</f>
        <v>#DIV/0!</v>
      </c>
    </row>
    <row r="339" spans="1:29" x14ac:dyDescent="0.3">
      <c r="A339" s="13">
        <v>337</v>
      </c>
      <c r="B339" s="25" t="s">
        <v>700</v>
      </c>
      <c r="C339" s="12" t="s">
        <v>63</v>
      </c>
      <c r="D339" s="61">
        <v>46381</v>
      </c>
      <c r="E339" s="24" t="s">
        <v>751</v>
      </c>
      <c r="F339" s="12" t="s">
        <v>35</v>
      </c>
      <c r="G339" s="12" t="s">
        <v>36</v>
      </c>
      <c r="H339" s="12" t="s">
        <v>752</v>
      </c>
      <c r="I339" s="12"/>
      <c r="J339" s="12"/>
      <c r="K339" s="21">
        <v>57724</v>
      </c>
      <c r="L339" s="12"/>
      <c r="M339" s="12">
        <v>4000</v>
      </c>
      <c r="N339" s="12"/>
      <c r="O339" s="12"/>
      <c r="P339" s="12">
        <v>2000</v>
      </c>
      <c r="Q339" s="12">
        <v>1000</v>
      </c>
      <c r="R339" s="12"/>
      <c r="S339" s="12">
        <v>600</v>
      </c>
      <c r="T339" s="12">
        <v>1200</v>
      </c>
      <c r="U339" s="12">
        <v>2440</v>
      </c>
      <c r="V339" s="12">
        <f t="shared" si="6"/>
        <v>68964</v>
      </c>
      <c r="W339" s="12">
        <v>1492</v>
      </c>
      <c r="X339" s="12">
        <v>690</v>
      </c>
      <c r="Y339" s="12">
        <f>Table1[[#This Row],[LOAD K.M]]+Table1[[#This Row],[EMPTY K.M]]</f>
        <v>2182</v>
      </c>
      <c r="Z339" s="12">
        <f>Table1[[#This Row],[INVOICE AMOUNT2]]-Table1[[#This Row],[Total Exp.]]</f>
        <v>-68964</v>
      </c>
      <c r="AA339" s="12">
        <f>Table1[[#This Row],[Total Exp.]]/Table1[[#This Row],[Total k.m]]</f>
        <v>31.605866177818516</v>
      </c>
      <c r="AB339" s="12">
        <f>Table1[[#This Row],[Profit/loss]]/Table1[[#This Row],[Total k.m]]</f>
        <v>-31.605866177818516</v>
      </c>
      <c r="AC339" s="12">
        <f>Table1[[#This Row],[INVOICE AMOUNT2]]/Table1[[#This Row],[Total k.m]]</f>
        <v>0</v>
      </c>
    </row>
    <row r="340" spans="1:29" x14ac:dyDescent="0.3">
      <c r="A340" s="51">
        <v>338</v>
      </c>
      <c r="B340" s="25" t="s">
        <v>701</v>
      </c>
      <c r="C340" s="12" t="s">
        <v>95</v>
      </c>
      <c r="D340" s="61">
        <v>46381</v>
      </c>
      <c r="E340" s="24" t="s">
        <v>751</v>
      </c>
      <c r="F340" s="12" t="s">
        <v>35</v>
      </c>
      <c r="G340" s="12" t="s">
        <v>36</v>
      </c>
      <c r="H340" s="12" t="s">
        <v>154</v>
      </c>
      <c r="I340" s="12"/>
      <c r="J340" s="12"/>
      <c r="K340" s="21">
        <v>48566</v>
      </c>
      <c r="L340" s="12"/>
      <c r="M340" s="12">
        <v>4000</v>
      </c>
      <c r="N340" s="12"/>
      <c r="O340" s="12"/>
      <c r="P340" s="12">
        <v>2000</v>
      </c>
      <c r="Q340" s="12">
        <v>1000</v>
      </c>
      <c r="R340" s="12"/>
      <c r="S340" s="12">
        <v>1000</v>
      </c>
      <c r="T340" s="12"/>
      <c r="U340" s="12">
        <v>2640</v>
      </c>
      <c r="V340" s="12">
        <f t="shared" si="6"/>
        <v>59206</v>
      </c>
      <c r="W340" s="12">
        <v>1402</v>
      </c>
      <c r="X340" s="12">
        <v>402</v>
      </c>
      <c r="Y340" s="12">
        <f>Table1[[#This Row],[LOAD K.M]]+Table1[[#This Row],[EMPTY K.M]]</f>
        <v>1804</v>
      </c>
      <c r="Z340" s="12">
        <f>Table1[[#This Row],[INVOICE AMOUNT2]]-Table1[[#This Row],[Total Exp.]]</f>
        <v>-59206</v>
      </c>
      <c r="AA340" s="12">
        <f>Table1[[#This Row],[Total Exp.]]/Table1[[#This Row],[Total k.m]]</f>
        <v>32.81929046563193</v>
      </c>
      <c r="AB340" s="12">
        <f>Table1[[#This Row],[Profit/loss]]/Table1[[#This Row],[Total k.m]]</f>
        <v>-32.81929046563193</v>
      </c>
      <c r="AC340" s="12">
        <f>Table1[[#This Row],[INVOICE AMOUNT2]]/Table1[[#This Row],[Total k.m]]</f>
        <v>0</v>
      </c>
    </row>
    <row r="341" spans="1:29" x14ac:dyDescent="0.3">
      <c r="A341" s="51">
        <v>339</v>
      </c>
      <c r="B341" s="25" t="s">
        <v>702</v>
      </c>
      <c r="C341" s="12" t="s">
        <v>75</v>
      </c>
      <c r="D341" s="61">
        <v>46381</v>
      </c>
      <c r="E341" s="24" t="s">
        <v>751</v>
      </c>
      <c r="F341" s="12" t="s">
        <v>35</v>
      </c>
      <c r="G341" s="12" t="s">
        <v>36</v>
      </c>
      <c r="H341" s="12" t="s">
        <v>753</v>
      </c>
      <c r="I341" s="12"/>
      <c r="J341" s="12"/>
      <c r="K341" s="21">
        <v>51476</v>
      </c>
      <c r="L341" s="12"/>
      <c r="M341" s="12">
        <v>4000</v>
      </c>
      <c r="N341" s="12"/>
      <c r="O341" s="12"/>
      <c r="P341" s="12">
        <v>2000</v>
      </c>
      <c r="Q341" s="12">
        <v>1000</v>
      </c>
      <c r="R341" s="12"/>
      <c r="S341" s="12"/>
      <c r="T341" s="12"/>
      <c r="U341" s="12">
        <v>2640</v>
      </c>
      <c r="V341" s="12">
        <f t="shared" si="6"/>
        <v>61116</v>
      </c>
      <c r="W341" s="12">
        <v>1327</v>
      </c>
      <c r="X341" s="12">
        <v>597</v>
      </c>
      <c r="Y341" s="12">
        <f>Table1[[#This Row],[LOAD K.M]]+Table1[[#This Row],[EMPTY K.M]]</f>
        <v>1924</v>
      </c>
      <c r="Z341" s="12">
        <f>Table1[[#This Row],[INVOICE AMOUNT2]]-Table1[[#This Row],[Total Exp.]]</f>
        <v>-61116</v>
      </c>
      <c r="AA341" s="12">
        <f>Table1[[#This Row],[Total Exp.]]/Table1[[#This Row],[Total k.m]]</f>
        <v>31.765072765072766</v>
      </c>
      <c r="AB341" s="12">
        <f>Table1[[#This Row],[Profit/loss]]/Table1[[#This Row],[Total k.m]]</f>
        <v>-31.765072765072766</v>
      </c>
      <c r="AC341" s="12">
        <f>Table1[[#This Row],[INVOICE AMOUNT2]]/Table1[[#This Row],[Total k.m]]</f>
        <v>0</v>
      </c>
    </row>
    <row r="342" spans="1:29" x14ac:dyDescent="0.3">
      <c r="A342" s="13">
        <v>340</v>
      </c>
      <c r="B342" s="25" t="s">
        <v>703</v>
      </c>
      <c r="C342" s="12" t="s">
        <v>82</v>
      </c>
      <c r="D342" s="61">
        <v>46381</v>
      </c>
      <c r="E342" s="24" t="s">
        <v>751</v>
      </c>
      <c r="F342" s="12" t="s">
        <v>35</v>
      </c>
      <c r="G342" s="12" t="s">
        <v>250</v>
      </c>
      <c r="H342" s="12" t="s">
        <v>754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>
        <f t="shared" si="6"/>
        <v>0</v>
      </c>
      <c r="W342" s="12"/>
      <c r="X342" s="12"/>
      <c r="Y342" s="12">
        <f>Table1[[#This Row],[LOAD K.M]]+Table1[[#This Row],[EMPTY K.M]]</f>
        <v>0</v>
      </c>
      <c r="Z342" s="12">
        <f>Table1[[#This Row],[INVOICE AMOUNT2]]-Table1[[#This Row],[Total Exp.]]</f>
        <v>0</v>
      </c>
      <c r="AA342" s="12" t="e">
        <f>Table1[[#This Row],[Total Exp.]]/Table1[[#This Row],[Total k.m]]</f>
        <v>#DIV/0!</v>
      </c>
      <c r="AB342" s="12" t="e">
        <f>Table1[[#This Row],[Profit/loss]]/Table1[[#This Row],[Total k.m]]</f>
        <v>#DIV/0!</v>
      </c>
      <c r="AC342" s="12" t="e">
        <f>Table1[[#This Row],[INVOICE AMOUNT2]]/Table1[[#This Row],[Total k.m]]</f>
        <v>#DIV/0!</v>
      </c>
    </row>
    <row r="343" spans="1:29" x14ac:dyDescent="0.3">
      <c r="A343" s="51">
        <v>341</v>
      </c>
      <c r="B343" s="25" t="s">
        <v>704</v>
      </c>
      <c r="C343" s="12" t="s">
        <v>46</v>
      </c>
      <c r="D343" s="61">
        <v>46381</v>
      </c>
      <c r="E343" s="24" t="s">
        <v>751</v>
      </c>
      <c r="F343" s="12" t="s">
        <v>35</v>
      </c>
      <c r="G343" s="12" t="s">
        <v>250</v>
      </c>
      <c r="H343" s="12" t="s">
        <v>107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>
        <f t="shared" si="6"/>
        <v>0</v>
      </c>
      <c r="W343" s="12"/>
      <c r="X343" s="12"/>
      <c r="Y343" s="12">
        <f>Table1[[#This Row],[LOAD K.M]]+Table1[[#This Row],[EMPTY K.M]]</f>
        <v>0</v>
      </c>
      <c r="Z343" s="12">
        <f>Table1[[#This Row],[INVOICE AMOUNT2]]-Table1[[#This Row],[Total Exp.]]</f>
        <v>0</v>
      </c>
      <c r="AA343" s="12" t="e">
        <f>Table1[[#This Row],[Total Exp.]]/Table1[[#This Row],[Total k.m]]</f>
        <v>#DIV/0!</v>
      </c>
      <c r="AB343" s="12" t="e">
        <f>Table1[[#This Row],[Profit/loss]]/Table1[[#This Row],[Total k.m]]</f>
        <v>#DIV/0!</v>
      </c>
      <c r="AC343" s="12" t="e">
        <f>Table1[[#This Row],[INVOICE AMOUNT2]]/Table1[[#This Row],[Total k.m]]</f>
        <v>#DIV/0!</v>
      </c>
    </row>
    <row r="344" spans="1:29" x14ac:dyDescent="0.3">
      <c r="A344" s="51">
        <v>342</v>
      </c>
      <c r="B344" s="25" t="s">
        <v>705</v>
      </c>
      <c r="C344" s="12" t="s">
        <v>29</v>
      </c>
      <c r="D344" s="61">
        <v>46381</v>
      </c>
      <c r="E344" s="24" t="s">
        <v>751</v>
      </c>
      <c r="F344" s="12" t="s">
        <v>35</v>
      </c>
      <c r="G344" s="12" t="s">
        <v>250</v>
      </c>
      <c r="H344" s="12" t="s">
        <v>36</v>
      </c>
      <c r="I344" s="12"/>
      <c r="J344" s="12"/>
      <c r="K344" s="21">
        <v>23491</v>
      </c>
      <c r="L344" s="12"/>
      <c r="M344" s="12">
        <v>1500</v>
      </c>
      <c r="N344" s="12"/>
      <c r="O344" s="12"/>
      <c r="P344" s="12">
        <v>2000</v>
      </c>
      <c r="Q344" s="12">
        <v>1000</v>
      </c>
      <c r="R344" s="12"/>
      <c r="S344" s="12"/>
      <c r="T344" s="12"/>
      <c r="U344" s="12"/>
      <c r="V344" s="12">
        <f t="shared" si="6"/>
        <v>27991</v>
      </c>
      <c r="W344" s="12">
        <v>860</v>
      </c>
      <c r="X344" s="12"/>
      <c r="Y344" s="12">
        <f>Table1[[#This Row],[LOAD K.M]]+Table1[[#This Row],[EMPTY K.M]]</f>
        <v>860</v>
      </c>
      <c r="Z344" s="12">
        <f>Table1[[#This Row],[INVOICE AMOUNT2]]-Table1[[#This Row],[Total Exp.]]</f>
        <v>-27991</v>
      </c>
      <c r="AA344" s="12">
        <f>Table1[[#This Row],[Total Exp.]]/Table1[[#This Row],[Total k.m]]</f>
        <v>32.54767441860465</v>
      </c>
      <c r="AB344" s="12">
        <f>Table1[[#This Row],[Profit/loss]]/Table1[[#This Row],[Total k.m]]</f>
        <v>-32.54767441860465</v>
      </c>
      <c r="AC344" s="12">
        <f>Table1[[#This Row],[INVOICE AMOUNT2]]/Table1[[#This Row],[Total k.m]]</f>
        <v>0</v>
      </c>
    </row>
    <row r="345" spans="1:29" x14ac:dyDescent="0.3">
      <c r="A345" s="13">
        <v>343</v>
      </c>
      <c r="B345" s="25" t="s">
        <v>706</v>
      </c>
      <c r="C345" s="12" t="s">
        <v>134</v>
      </c>
      <c r="D345" s="61">
        <v>46381</v>
      </c>
      <c r="E345" s="24" t="s">
        <v>755</v>
      </c>
      <c r="F345" s="12" t="s">
        <v>35</v>
      </c>
      <c r="G345" s="12" t="s">
        <v>36</v>
      </c>
      <c r="H345" s="12" t="s">
        <v>756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>
        <f t="shared" si="6"/>
        <v>0</v>
      </c>
      <c r="W345" s="12"/>
      <c r="X345" s="12"/>
      <c r="Y345" s="12">
        <f>Table1[[#This Row],[LOAD K.M]]+Table1[[#This Row],[EMPTY K.M]]</f>
        <v>0</v>
      </c>
      <c r="Z345" s="12">
        <f>Table1[[#This Row],[INVOICE AMOUNT2]]-Table1[[#This Row],[Total Exp.]]</f>
        <v>0</v>
      </c>
      <c r="AA345" s="12" t="e">
        <f>Table1[[#This Row],[Total Exp.]]/Table1[[#This Row],[Total k.m]]</f>
        <v>#DIV/0!</v>
      </c>
      <c r="AB345" s="12" t="e">
        <f>Table1[[#This Row],[Profit/loss]]/Table1[[#This Row],[Total k.m]]</f>
        <v>#DIV/0!</v>
      </c>
      <c r="AC345" s="12" t="e">
        <f>Table1[[#This Row],[INVOICE AMOUNT2]]/Table1[[#This Row],[Total k.m]]</f>
        <v>#DIV/0!</v>
      </c>
    </row>
    <row r="346" spans="1:29" x14ac:dyDescent="0.3">
      <c r="A346" s="51">
        <v>344</v>
      </c>
      <c r="B346" s="25" t="s">
        <v>707</v>
      </c>
      <c r="C346" s="12" t="s">
        <v>84</v>
      </c>
      <c r="D346" s="61">
        <v>46381</v>
      </c>
      <c r="E346" s="24" t="s">
        <v>755</v>
      </c>
      <c r="F346" s="12" t="s">
        <v>35</v>
      </c>
      <c r="G346" s="12" t="s">
        <v>36</v>
      </c>
      <c r="H346" s="12" t="s">
        <v>85</v>
      </c>
      <c r="I346" s="12"/>
      <c r="J346" s="12"/>
      <c r="K346" s="21">
        <v>29921</v>
      </c>
      <c r="L346" s="12"/>
      <c r="M346" s="12">
        <v>3000</v>
      </c>
      <c r="N346" s="12"/>
      <c r="O346" s="12"/>
      <c r="P346" s="12">
        <v>2000</v>
      </c>
      <c r="Q346" s="12">
        <v>1500</v>
      </c>
      <c r="R346" s="12"/>
      <c r="S346" s="12"/>
      <c r="T346" s="12"/>
      <c r="U346" s="12">
        <v>1320</v>
      </c>
      <c r="V346" s="12">
        <f t="shared" si="6"/>
        <v>37741</v>
      </c>
      <c r="W346" s="12">
        <v>552</v>
      </c>
      <c r="X346" s="12">
        <v>582</v>
      </c>
      <c r="Y346" s="12">
        <f>Table1[[#This Row],[LOAD K.M]]+Table1[[#This Row],[EMPTY K.M]]</f>
        <v>1134</v>
      </c>
      <c r="Z346" s="12">
        <f>Table1[[#This Row],[INVOICE AMOUNT2]]-Table1[[#This Row],[Total Exp.]]</f>
        <v>-37741</v>
      </c>
      <c r="AA346" s="12">
        <f>Table1[[#This Row],[Total Exp.]]/Table1[[#This Row],[Total k.m]]</f>
        <v>33.28130511463845</v>
      </c>
      <c r="AB346" s="12">
        <f>Table1[[#This Row],[Profit/loss]]/Table1[[#This Row],[Total k.m]]</f>
        <v>-33.28130511463845</v>
      </c>
      <c r="AC346" s="12">
        <f>Table1[[#This Row],[INVOICE AMOUNT2]]/Table1[[#This Row],[Total k.m]]</f>
        <v>0</v>
      </c>
    </row>
    <row r="347" spans="1:29" x14ac:dyDescent="0.3">
      <c r="A347" s="51">
        <v>345</v>
      </c>
      <c r="B347" s="25" t="s">
        <v>708</v>
      </c>
      <c r="C347" s="12" t="s">
        <v>87</v>
      </c>
      <c r="D347" s="61">
        <v>46381</v>
      </c>
      <c r="E347" s="24" t="s">
        <v>757</v>
      </c>
      <c r="F347" s="12" t="s">
        <v>35</v>
      </c>
      <c r="G347" s="12" t="s">
        <v>36</v>
      </c>
      <c r="H347" s="12" t="s">
        <v>746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>
        <f t="shared" si="6"/>
        <v>0</v>
      </c>
      <c r="W347" s="12"/>
      <c r="X347" s="12"/>
      <c r="Y347" s="12">
        <f>Table1[[#This Row],[LOAD K.M]]+Table1[[#This Row],[EMPTY K.M]]</f>
        <v>0</v>
      </c>
      <c r="Z347" s="12">
        <f>Table1[[#This Row],[INVOICE AMOUNT2]]-Table1[[#This Row],[Total Exp.]]</f>
        <v>0</v>
      </c>
      <c r="AA347" s="12" t="e">
        <f>Table1[[#This Row],[Total Exp.]]/Table1[[#This Row],[Total k.m]]</f>
        <v>#DIV/0!</v>
      </c>
      <c r="AB347" s="12" t="e">
        <f>Table1[[#This Row],[Profit/loss]]/Table1[[#This Row],[Total k.m]]</f>
        <v>#DIV/0!</v>
      </c>
      <c r="AC347" s="12" t="e">
        <f>Table1[[#This Row],[INVOICE AMOUNT2]]/Table1[[#This Row],[Total k.m]]</f>
        <v>#DIV/0!</v>
      </c>
    </row>
    <row r="348" spans="1:29" x14ac:dyDescent="0.3">
      <c r="A348" s="13">
        <v>346</v>
      </c>
      <c r="B348" s="25" t="s">
        <v>709</v>
      </c>
      <c r="C348" s="12" t="s">
        <v>77</v>
      </c>
      <c r="D348" s="61">
        <v>46381</v>
      </c>
      <c r="E348" s="24" t="s">
        <v>757</v>
      </c>
      <c r="F348" s="12" t="s">
        <v>35</v>
      </c>
      <c r="G348" s="12" t="s">
        <v>631</v>
      </c>
      <c r="H348" s="12" t="s">
        <v>326</v>
      </c>
      <c r="I348" s="12"/>
      <c r="J348" s="12"/>
      <c r="K348" s="21">
        <v>35204</v>
      </c>
      <c r="L348" s="12"/>
      <c r="M348" s="12">
        <v>2500</v>
      </c>
      <c r="N348" s="12"/>
      <c r="O348" s="12"/>
      <c r="P348" s="12">
        <v>2000</v>
      </c>
      <c r="Q348" s="12">
        <v>1000</v>
      </c>
      <c r="R348" s="12"/>
      <c r="S348" s="12"/>
      <c r="T348" s="12"/>
      <c r="U348" s="12">
        <v>2609</v>
      </c>
      <c r="V348" s="12">
        <f t="shared" si="6"/>
        <v>43313</v>
      </c>
      <c r="W348" s="12">
        <v>867</v>
      </c>
      <c r="X348" s="12">
        <v>473</v>
      </c>
      <c r="Y348" s="12">
        <f>Table1[[#This Row],[LOAD K.M]]+Table1[[#This Row],[EMPTY K.M]]</f>
        <v>1340</v>
      </c>
      <c r="Z348" s="12">
        <f>Table1[[#This Row],[INVOICE AMOUNT2]]-Table1[[#This Row],[Total Exp.]]</f>
        <v>-43313</v>
      </c>
      <c r="AA348" s="12">
        <f>Table1[[#This Row],[Total Exp.]]/Table1[[#This Row],[Total k.m]]</f>
        <v>32.323134328358208</v>
      </c>
      <c r="AB348" s="12">
        <f>Table1[[#This Row],[Profit/loss]]/Table1[[#This Row],[Total k.m]]</f>
        <v>-32.323134328358208</v>
      </c>
      <c r="AC348" s="12">
        <f>Table1[[#This Row],[INVOICE AMOUNT2]]/Table1[[#This Row],[Total k.m]]</f>
        <v>0</v>
      </c>
    </row>
    <row r="349" spans="1:29" x14ac:dyDescent="0.3">
      <c r="A349" s="51">
        <v>347</v>
      </c>
      <c r="B349" s="25" t="s">
        <v>710</v>
      </c>
      <c r="C349" s="12" t="s">
        <v>98</v>
      </c>
      <c r="D349" s="61">
        <v>46381</v>
      </c>
      <c r="E349" s="24" t="s">
        <v>634</v>
      </c>
      <c r="F349" s="12" t="s">
        <v>35</v>
      </c>
      <c r="G349" s="12" t="s">
        <v>36</v>
      </c>
      <c r="H349" s="12" t="s">
        <v>66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>
        <f t="shared" ref="V349:V377" si="7">SUM(K349:U349)</f>
        <v>0</v>
      </c>
      <c r="W349" s="12"/>
      <c r="X349" s="12"/>
      <c r="Y349" s="12">
        <f>Table1[[#This Row],[LOAD K.M]]+Table1[[#This Row],[EMPTY K.M]]</f>
        <v>0</v>
      </c>
      <c r="Z349" s="12">
        <f>Table1[[#This Row],[INVOICE AMOUNT2]]-Table1[[#This Row],[Total Exp.]]</f>
        <v>0</v>
      </c>
      <c r="AA349" s="12" t="e">
        <f>Table1[[#This Row],[Total Exp.]]/Table1[[#This Row],[Total k.m]]</f>
        <v>#DIV/0!</v>
      </c>
      <c r="AB349" s="12" t="e">
        <f>Table1[[#This Row],[Profit/loss]]/Table1[[#This Row],[Total k.m]]</f>
        <v>#DIV/0!</v>
      </c>
      <c r="AC349" s="12" t="e">
        <f>Table1[[#This Row],[INVOICE AMOUNT2]]/Table1[[#This Row],[Total k.m]]</f>
        <v>#DIV/0!</v>
      </c>
    </row>
    <row r="350" spans="1:29" x14ac:dyDescent="0.3">
      <c r="A350" s="51">
        <v>348</v>
      </c>
      <c r="B350" s="25" t="s">
        <v>711</v>
      </c>
      <c r="C350" s="12" t="s">
        <v>69</v>
      </c>
      <c r="D350" s="61">
        <v>46381</v>
      </c>
      <c r="E350" s="24" t="s">
        <v>634</v>
      </c>
      <c r="F350" s="12" t="s">
        <v>65</v>
      </c>
      <c r="G350" s="12" t="s">
        <v>66</v>
      </c>
      <c r="H350" s="12" t="s">
        <v>758</v>
      </c>
      <c r="I350" s="12"/>
      <c r="J350" s="12"/>
      <c r="K350" s="27">
        <v>27792</v>
      </c>
      <c r="L350" s="12"/>
      <c r="M350" s="12">
        <v>3500</v>
      </c>
      <c r="N350" s="12"/>
      <c r="O350" s="12">
        <v>800</v>
      </c>
      <c r="P350" s="12">
        <v>2000</v>
      </c>
      <c r="Q350" s="12">
        <v>1000</v>
      </c>
      <c r="R350" s="12"/>
      <c r="S350" s="12">
        <v>900</v>
      </c>
      <c r="T350" s="12">
        <v>500</v>
      </c>
      <c r="U350" s="12"/>
      <c r="V350" s="12">
        <f t="shared" si="7"/>
        <v>36492</v>
      </c>
      <c r="W350" s="12">
        <v>671</v>
      </c>
      <c r="X350" s="12">
        <v>352</v>
      </c>
      <c r="Y350" s="12">
        <f>Table1[[#This Row],[LOAD K.M]]+Table1[[#This Row],[EMPTY K.M]]</f>
        <v>1023</v>
      </c>
      <c r="Z350" s="12">
        <f>Table1[[#This Row],[INVOICE AMOUNT2]]-Table1[[#This Row],[Total Exp.]]</f>
        <v>-36492</v>
      </c>
      <c r="AA350" s="12">
        <f>Table1[[#This Row],[Total Exp.]]/Table1[[#This Row],[Total k.m]]</f>
        <v>35.671554252199414</v>
      </c>
      <c r="AB350" s="12">
        <f>Table1[[#This Row],[Profit/loss]]/Table1[[#This Row],[Total k.m]]</f>
        <v>-35.671554252199414</v>
      </c>
      <c r="AC350" s="12">
        <f>Table1[[#This Row],[INVOICE AMOUNT2]]/Table1[[#This Row],[Total k.m]]</f>
        <v>0</v>
      </c>
    </row>
    <row r="351" spans="1:29" x14ac:dyDescent="0.3">
      <c r="A351" s="13">
        <v>349</v>
      </c>
      <c r="B351" s="25" t="s">
        <v>712</v>
      </c>
      <c r="C351" s="12" t="s">
        <v>59</v>
      </c>
      <c r="D351" s="61">
        <v>46381</v>
      </c>
      <c r="E351" s="24" t="s">
        <v>634</v>
      </c>
      <c r="F351" s="12" t="s">
        <v>35</v>
      </c>
      <c r="G351" s="12" t="s">
        <v>99</v>
      </c>
      <c r="H351" s="12" t="s">
        <v>194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>
        <f t="shared" si="7"/>
        <v>0</v>
      </c>
      <c r="W351" s="12"/>
      <c r="X351" s="12"/>
      <c r="Y351" s="12">
        <f>Table1[[#This Row],[LOAD K.M]]+Table1[[#This Row],[EMPTY K.M]]</f>
        <v>0</v>
      </c>
      <c r="Z351" s="12">
        <f>Table1[[#This Row],[INVOICE AMOUNT2]]-Table1[[#This Row],[Total Exp.]]</f>
        <v>0</v>
      </c>
      <c r="AA351" s="12" t="e">
        <f>Table1[[#This Row],[Total Exp.]]/Table1[[#This Row],[Total k.m]]</f>
        <v>#DIV/0!</v>
      </c>
      <c r="AB351" s="12" t="e">
        <f>Table1[[#This Row],[Profit/loss]]/Table1[[#This Row],[Total k.m]]</f>
        <v>#DIV/0!</v>
      </c>
      <c r="AC351" s="12" t="e">
        <f>Table1[[#This Row],[INVOICE AMOUNT2]]/Table1[[#This Row],[Total k.m]]</f>
        <v>#DIV/0!</v>
      </c>
    </row>
    <row r="352" spans="1:29" x14ac:dyDescent="0.3">
      <c r="A352" s="51">
        <v>350</v>
      </c>
      <c r="B352" s="25" t="s">
        <v>713</v>
      </c>
      <c r="C352" s="12" t="s">
        <v>63</v>
      </c>
      <c r="D352" s="61">
        <v>46381</v>
      </c>
      <c r="E352" s="24" t="s">
        <v>759</v>
      </c>
      <c r="F352" s="12" t="s">
        <v>35</v>
      </c>
      <c r="G352" s="12" t="s">
        <v>99</v>
      </c>
      <c r="H352" s="12" t="s">
        <v>326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>
        <f t="shared" si="7"/>
        <v>0</v>
      </c>
      <c r="W352" s="12"/>
      <c r="X352" s="12"/>
      <c r="Y352" s="12">
        <f>Table1[[#This Row],[LOAD K.M]]+Table1[[#This Row],[EMPTY K.M]]</f>
        <v>0</v>
      </c>
      <c r="Z352" s="12">
        <f>Table1[[#This Row],[INVOICE AMOUNT2]]-Table1[[#This Row],[Total Exp.]]</f>
        <v>0</v>
      </c>
      <c r="AA352" s="12" t="e">
        <f>Table1[[#This Row],[Total Exp.]]/Table1[[#This Row],[Total k.m]]</f>
        <v>#DIV/0!</v>
      </c>
      <c r="AB352" s="12" t="e">
        <f>Table1[[#This Row],[Profit/loss]]/Table1[[#This Row],[Total k.m]]</f>
        <v>#DIV/0!</v>
      </c>
      <c r="AC352" s="12" t="e">
        <f>Table1[[#This Row],[INVOICE AMOUNT2]]/Table1[[#This Row],[Total k.m]]</f>
        <v>#DIV/0!</v>
      </c>
    </row>
    <row r="353" spans="1:29" x14ac:dyDescent="0.3">
      <c r="A353" s="51">
        <v>351</v>
      </c>
      <c r="B353" s="25" t="s">
        <v>714</v>
      </c>
      <c r="C353" s="12" t="s">
        <v>95</v>
      </c>
      <c r="D353" s="61">
        <v>46381</v>
      </c>
      <c r="E353" s="24" t="s">
        <v>759</v>
      </c>
      <c r="F353" s="12" t="s">
        <v>35</v>
      </c>
      <c r="G353" s="12" t="s">
        <v>99</v>
      </c>
      <c r="H353" s="12" t="s">
        <v>36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>
        <f t="shared" si="7"/>
        <v>0</v>
      </c>
      <c r="W353" s="12"/>
      <c r="X353" s="12"/>
      <c r="Y353" s="12">
        <f>Table1[[#This Row],[LOAD K.M]]+Table1[[#This Row],[EMPTY K.M]]</f>
        <v>0</v>
      </c>
      <c r="Z353" s="12">
        <f>Table1[[#This Row],[INVOICE AMOUNT2]]-Table1[[#This Row],[Total Exp.]]</f>
        <v>0</v>
      </c>
      <c r="AA353" s="12" t="e">
        <f>Table1[[#This Row],[Total Exp.]]/Table1[[#This Row],[Total k.m]]</f>
        <v>#DIV/0!</v>
      </c>
      <c r="AB353" s="12" t="e">
        <f>Table1[[#This Row],[Profit/loss]]/Table1[[#This Row],[Total k.m]]</f>
        <v>#DIV/0!</v>
      </c>
      <c r="AC353" s="12" t="e">
        <f>Table1[[#This Row],[INVOICE AMOUNT2]]/Table1[[#This Row],[Total k.m]]</f>
        <v>#DIV/0!</v>
      </c>
    </row>
    <row r="354" spans="1:29" x14ac:dyDescent="0.3">
      <c r="A354" s="13">
        <v>352</v>
      </c>
      <c r="B354" s="25" t="s">
        <v>715</v>
      </c>
      <c r="C354" s="12" t="s">
        <v>82</v>
      </c>
      <c r="D354" s="61">
        <v>46381</v>
      </c>
      <c r="E354" s="24" t="s">
        <v>759</v>
      </c>
      <c r="F354" s="12" t="s">
        <v>35</v>
      </c>
      <c r="G354" s="12" t="s">
        <v>99</v>
      </c>
      <c r="H354" s="12" t="s">
        <v>36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>
        <f t="shared" si="7"/>
        <v>0</v>
      </c>
      <c r="W354" s="12"/>
      <c r="X354" s="12"/>
      <c r="Y354" s="12">
        <f>Table1[[#This Row],[LOAD K.M]]+Table1[[#This Row],[EMPTY K.M]]</f>
        <v>0</v>
      </c>
      <c r="Z354" s="12">
        <f>Table1[[#This Row],[INVOICE AMOUNT2]]-Table1[[#This Row],[Total Exp.]]</f>
        <v>0</v>
      </c>
      <c r="AA354" s="12" t="e">
        <f>Table1[[#This Row],[Total Exp.]]/Table1[[#This Row],[Total k.m]]</f>
        <v>#DIV/0!</v>
      </c>
      <c r="AB354" s="12" t="e">
        <f>Table1[[#This Row],[Profit/loss]]/Table1[[#This Row],[Total k.m]]</f>
        <v>#DIV/0!</v>
      </c>
      <c r="AC354" s="12" t="e">
        <f>Table1[[#This Row],[INVOICE AMOUNT2]]/Table1[[#This Row],[Total k.m]]</f>
        <v>#DIV/0!</v>
      </c>
    </row>
    <row r="355" spans="1:29" x14ac:dyDescent="0.3">
      <c r="A355" s="51">
        <v>353</v>
      </c>
      <c r="B355" s="25" t="s">
        <v>716</v>
      </c>
      <c r="C355" s="12" t="s">
        <v>72</v>
      </c>
      <c r="D355" s="61">
        <v>46381</v>
      </c>
      <c r="E355" s="24" t="s">
        <v>759</v>
      </c>
      <c r="F355" s="12" t="s">
        <v>178</v>
      </c>
      <c r="G355" s="12" t="s">
        <v>228</v>
      </c>
      <c r="H355" s="12" t="s">
        <v>32</v>
      </c>
      <c r="I355" s="12">
        <v>6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>
        <f t="shared" si="7"/>
        <v>0</v>
      </c>
      <c r="W355" s="12"/>
      <c r="X355" s="12"/>
      <c r="Y355" s="12">
        <f>Table1[[#This Row],[LOAD K.M]]+Table1[[#This Row],[EMPTY K.M]]</f>
        <v>0</v>
      </c>
      <c r="Z355" s="12">
        <f>Table1[[#This Row],[INVOICE AMOUNT2]]-Table1[[#This Row],[Total Exp.]]</f>
        <v>0</v>
      </c>
      <c r="AA355" s="12" t="e">
        <f>Table1[[#This Row],[Total Exp.]]/Table1[[#This Row],[Total k.m]]</f>
        <v>#DIV/0!</v>
      </c>
      <c r="AB355" s="12" t="e">
        <f>Table1[[#This Row],[Profit/loss]]/Table1[[#This Row],[Total k.m]]</f>
        <v>#DIV/0!</v>
      </c>
      <c r="AC355" s="12" t="e">
        <f>Table1[[#This Row],[INVOICE AMOUNT2]]/Table1[[#This Row],[Total k.m]]</f>
        <v>#DIV/0!</v>
      </c>
    </row>
    <row r="356" spans="1:29" x14ac:dyDescent="0.3">
      <c r="A356" s="51">
        <v>354</v>
      </c>
      <c r="B356" s="25" t="s">
        <v>717</v>
      </c>
      <c r="C356" s="12" t="s">
        <v>75</v>
      </c>
      <c r="D356" s="61">
        <v>46381</v>
      </c>
      <c r="E356" s="24" t="s">
        <v>759</v>
      </c>
      <c r="F356" s="12" t="s">
        <v>35</v>
      </c>
      <c r="G356" s="12" t="s">
        <v>99</v>
      </c>
      <c r="H356" s="12" t="s">
        <v>373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>
        <f t="shared" si="7"/>
        <v>0</v>
      </c>
      <c r="W356" s="12"/>
      <c r="X356" s="12"/>
      <c r="Y356" s="12">
        <f>Table1[[#This Row],[LOAD K.M]]+Table1[[#This Row],[EMPTY K.M]]</f>
        <v>0</v>
      </c>
      <c r="Z356" s="12">
        <f>Table1[[#This Row],[INVOICE AMOUNT2]]-Table1[[#This Row],[Total Exp.]]</f>
        <v>0</v>
      </c>
      <c r="AA356" s="12" t="e">
        <f>Table1[[#This Row],[Total Exp.]]/Table1[[#This Row],[Total k.m]]</f>
        <v>#DIV/0!</v>
      </c>
      <c r="AB356" s="12" t="e">
        <f>Table1[[#This Row],[Profit/loss]]/Table1[[#This Row],[Total k.m]]</f>
        <v>#DIV/0!</v>
      </c>
      <c r="AC356" s="12" t="e">
        <f>Table1[[#This Row],[INVOICE AMOUNT2]]/Table1[[#This Row],[Total k.m]]</f>
        <v>#DIV/0!</v>
      </c>
    </row>
    <row r="357" spans="1:29" x14ac:dyDescent="0.3">
      <c r="A357" s="13">
        <v>355</v>
      </c>
      <c r="B357" s="25" t="s">
        <v>718</v>
      </c>
      <c r="C357" s="12" t="s">
        <v>93</v>
      </c>
      <c r="D357" s="61">
        <v>46048</v>
      </c>
      <c r="E357" s="24" t="s">
        <v>760</v>
      </c>
      <c r="F357" s="12" t="s">
        <v>742</v>
      </c>
      <c r="G357" s="12" t="s">
        <v>197</v>
      </c>
      <c r="H357" s="12" t="s">
        <v>743</v>
      </c>
      <c r="I357" s="12">
        <v>6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>
        <f t="shared" si="7"/>
        <v>0</v>
      </c>
      <c r="W357" s="12"/>
      <c r="X357" s="12"/>
      <c r="Y357" s="12">
        <f>Table1[[#This Row],[LOAD K.M]]+Table1[[#This Row],[EMPTY K.M]]</f>
        <v>0</v>
      </c>
      <c r="Z357" s="12">
        <f>Table1[[#This Row],[INVOICE AMOUNT2]]-Table1[[#This Row],[Total Exp.]]</f>
        <v>0</v>
      </c>
      <c r="AA357" s="12" t="e">
        <f>Table1[[#This Row],[Total Exp.]]/Table1[[#This Row],[Total k.m]]</f>
        <v>#DIV/0!</v>
      </c>
      <c r="AB357" s="12" t="e">
        <f>Table1[[#This Row],[Profit/loss]]/Table1[[#This Row],[Total k.m]]</f>
        <v>#DIV/0!</v>
      </c>
      <c r="AC357" s="12" t="e">
        <f>Table1[[#This Row],[INVOICE AMOUNT2]]/Table1[[#This Row],[Total k.m]]</f>
        <v>#DIV/0!</v>
      </c>
    </row>
    <row r="358" spans="1:29" x14ac:dyDescent="0.3">
      <c r="A358" s="51">
        <v>356</v>
      </c>
      <c r="B358" s="25" t="s">
        <v>719</v>
      </c>
      <c r="C358" s="12" t="s">
        <v>75</v>
      </c>
      <c r="D358" s="65">
        <v>46381</v>
      </c>
      <c r="E358" s="24" t="s">
        <v>761</v>
      </c>
      <c r="F358" s="12" t="s">
        <v>65</v>
      </c>
      <c r="G358" s="12" t="s">
        <v>66</v>
      </c>
      <c r="H358" s="12" t="s">
        <v>32</v>
      </c>
      <c r="I358" s="12"/>
      <c r="J358" s="12"/>
      <c r="K358" s="21">
        <v>68284</v>
      </c>
      <c r="L358" s="12"/>
      <c r="M358" s="12">
        <v>6000</v>
      </c>
      <c r="N358" s="12"/>
      <c r="O358" s="12"/>
      <c r="P358" s="12">
        <v>2000</v>
      </c>
      <c r="Q358" s="12">
        <v>1000</v>
      </c>
      <c r="R358" s="12"/>
      <c r="S358" s="12">
        <v>600</v>
      </c>
      <c r="T358" s="12"/>
      <c r="U358" s="12">
        <v>2640</v>
      </c>
      <c r="V358" s="12">
        <f t="shared" si="7"/>
        <v>80524</v>
      </c>
      <c r="W358" s="12">
        <v>2420</v>
      </c>
      <c r="X358" s="12">
        <v>53</v>
      </c>
      <c r="Y358" s="12">
        <f>Table1[[#This Row],[LOAD K.M]]+Table1[[#This Row],[EMPTY K.M]]</f>
        <v>2473</v>
      </c>
      <c r="Z358" s="12">
        <f>Table1[[#This Row],[INVOICE AMOUNT2]]-Table1[[#This Row],[Total Exp.]]</f>
        <v>-80524</v>
      </c>
      <c r="AA358" s="12">
        <f>Table1[[#This Row],[Total Exp.]]/Table1[[#This Row],[Total k.m]]</f>
        <v>32.561261625556007</v>
      </c>
      <c r="AB358" s="12">
        <f>Table1[[#This Row],[Profit/loss]]/Table1[[#This Row],[Total k.m]]</f>
        <v>-32.561261625556007</v>
      </c>
      <c r="AC358" s="12">
        <f>Table1[[#This Row],[INVOICE AMOUNT2]]/Table1[[#This Row],[Total k.m]]</f>
        <v>0</v>
      </c>
    </row>
    <row r="359" spans="1:29" x14ac:dyDescent="0.3">
      <c r="A359" s="51">
        <v>357</v>
      </c>
      <c r="B359" s="25" t="s">
        <v>720</v>
      </c>
      <c r="C359" s="12" t="s">
        <v>39</v>
      </c>
      <c r="D359" s="65">
        <v>46381</v>
      </c>
      <c r="E359" s="24" t="s">
        <v>672</v>
      </c>
      <c r="F359" s="12" t="s">
        <v>65</v>
      </c>
      <c r="G359" s="12" t="s">
        <v>66</v>
      </c>
      <c r="H359" s="12" t="s">
        <v>32</v>
      </c>
      <c r="I359" s="12"/>
      <c r="J359" s="12"/>
      <c r="K359" s="21">
        <v>55245</v>
      </c>
      <c r="L359" s="12"/>
      <c r="M359" s="12">
        <v>6000</v>
      </c>
      <c r="N359" s="12"/>
      <c r="O359" s="12"/>
      <c r="P359" s="12">
        <v>2000</v>
      </c>
      <c r="Q359" s="12">
        <v>1000</v>
      </c>
      <c r="R359" s="12"/>
      <c r="S359" s="12">
        <v>900</v>
      </c>
      <c r="T359" s="12"/>
      <c r="U359" s="12">
        <v>2640</v>
      </c>
      <c r="V359" s="12">
        <f t="shared" si="7"/>
        <v>67785</v>
      </c>
      <c r="W359" s="12">
        <v>1953</v>
      </c>
      <c r="X359" s="12">
        <v>32</v>
      </c>
      <c r="Y359" s="12">
        <f>Table1[[#This Row],[LOAD K.M]]+Table1[[#This Row],[EMPTY K.M]]</f>
        <v>1985</v>
      </c>
      <c r="Z359" s="12">
        <f>Table1[[#This Row],[INVOICE AMOUNT2]]-Table1[[#This Row],[Total Exp.]]</f>
        <v>-67785</v>
      </c>
      <c r="AA359" s="12">
        <f>Table1[[#This Row],[Total Exp.]]/Table1[[#This Row],[Total k.m]]</f>
        <v>34.148614609571787</v>
      </c>
      <c r="AB359" s="12">
        <f>Table1[[#This Row],[Profit/loss]]/Table1[[#This Row],[Total k.m]]</f>
        <v>-34.148614609571787</v>
      </c>
      <c r="AC359" s="12">
        <f>Table1[[#This Row],[INVOICE AMOUNT2]]/Table1[[#This Row],[Total k.m]]</f>
        <v>0</v>
      </c>
    </row>
    <row r="360" spans="1:29" x14ac:dyDescent="0.3">
      <c r="A360" s="13">
        <v>358</v>
      </c>
      <c r="B360" s="25" t="s">
        <v>721</v>
      </c>
      <c r="C360" s="12" t="s">
        <v>134</v>
      </c>
      <c r="D360" s="65">
        <v>46048</v>
      </c>
      <c r="E360" s="24" t="s">
        <v>762</v>
      </c>
      <c r="F360" s="12" t="s">
        <v>742</v>
      </c>
      <c r="G360" s="12" t="s">
        <v>197</v>
      </c>
      <c r="H360" s="12" t="s">
        <v>763</v>
      </c>
      <c r="I360" s="12">
        <v>6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>
        <f t="shared" si="7"/>
        <v>0</v>
      </c>
      <c r="W360" s="12"/>
      <c r="X360" s="12"/>
      <c r="Y360" s="12">
        <f>Table1[[#This Row],[LOAD K.M]]+Table1[[#This Row],[EMPTY K.M]]</f>
        <v>0</v>
      </c>
      <c r="Z360" s="12">
        <f>Table1[[#This Row],[INVOICE AMOUNT2]]-Table1[[#This Row],[Total Exp.]]</f>
        <v>0</v>
      </c>
      <c r="AA360" s="12" t="e">
        <f>Table1[[#This Row],[Total Exp.]]/Table1[[#This Row],[Total k.m]]</f>
        <v>#DIV/0!</v>
      </c>
      <c r="AB360" s="12" t="e">
        <f>Table1[[#This Row],[Profit/loss]]/Table1[[#This Row],[Total k.m]]</f>
        <v>#DIV/0!</v>
      </c>
      <c r="AC360" s="12" t="e">
        <f>Table1[[#This Row],[INVOICE AMOUNT2]]/Table1[[#This Row],[Total k.m]]</f>
        <v>#DIV/0!</v>
      </c>
    </row>
    <row r="361" spans="1:29" x14ac:dyDescent="0.3">
      <c r="A361" s="51">
        <v>359</v>
      </c>
      <c r="B361" s="25" t="s">
        <v>722</v>
      </c>
      <c r="C361" s="12" t="s">
        <v>34</v>
      </c>
      <c r="D361" s="65">
        <v>46048</v>
      </c>
      <c r="E361" s="24" t="s">
        <v>762</v>
      </c>
      <c r="F361" s="12" t="s">
        <v>178</v>
      </c>
      <c r="G361" s="12" t="s">
        <v>228</v>
      </c>
      <c r="H361" s="12" t="s">
        <v>764</v>
      </c>
      <c r="I361" s="12">
        <v>6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>
        <f t="shared" si="7"/>
        <v>0</v>
      </c>
      <c r="W361" s="12"/>
      <c r="X361" s="12"/>
      <c r="Y361" s="12">
        <f>Table1[[#This Row],[LOAD K.M]]+Table1[[#This Row],[EMPTY K.M]]</f>
        <v>0</v>
      </c>
      <c r="Z361" s="12">
        <f>Table1[[#This Row],[INVOICE AMOUNT2]]-Table1[[#This Row],[Total Exp.]]</f>
        <v>0</v>
      </c>
      <c r="AA361" s="12" t="e">
        <f>Table1[[#This Row],[Total Exp.]]/Table1[[#This Row],[Total k.m]]</f>
        <v>#DIV/0!</v>
      </c>
      <c r="AB361" s="12" t="e">
        <f>Table1[[#This Row],[Profit/loss]]/Table1[[#This Row],[Total k.m]]</f>
        <v>#DIV/0!</v>
      </c>
      <c r="AC361" s="12" t="e">
        <f>Table1[[#This Row],[INVOICE AMOUNT2]]/Table1[[#This Row],[Total k.m]]</f>
        <v>#DIV/0!</v>
      </c>
    </row>
    <row r="362" spans="1:29" x14ac:dyDescent="0.3">
      <c r="A362" s="51">
        <v>360</v>
      </c>
      <c r="B362" s="25" t="s">
        <v>723</v>
      </c>
      <c r="C362" s="12" t="s">
        <v>109</v>
      </c>
      <c r="D362" s="65">
        <v>46048</v>
      </c>
      <c r="E362" s="24" t="s">
        <v>762</v>
      </c>
      <c r="F362" s="12" t="s">
        <v>35</v>
      </c>
      <c r="G362" s="12" t="s">
        <v>36</v>
      </c>
      <c r="H362" s="12" t="s">
        <v>740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>
        <f t="shared" si="7"/>
        <v>0</v>
      </c>
      <c r="W362" s="12"/>
      <c r="X362" s="12"/>
      <c r="Y362" s="12">
        <f>Table1[[#This Row],[LOAD K.M]]+Table1[[#This Row],[EMPTY K.M]]</f>
        <v>0</v>
      </c>
      <c r="Z362" s="12">
        <f>Table1[[#This Row],[INVOICE AMOUNT2]]-Table1[[#This Row],[Total Exp.]]</f>
        <v>0</v>
      </c>
      <c r="AA362" s="12" t="e">
        <f>Table1[[#This Row],[Total Exp.]]/Table1[[#This Row],[Total k.m]]</f>
        <v>#DIV/0!</v>
      </c>
      <c r="AB362" s="12" t="e">
        <f>Table1[[#This Row],[Profit/loss]]/Table1[[#This Row],[Total k.m]]</f>
        <v>#DIV/0!</v>
      </c>
      <c r="AC362" s="12" t="e">
        <f>Table1[[#This Row],[INVOICE AMOUNT2]]/Table1[[#This Row],[Total k.m]]</f>
        <v>#DIV/0!</v>
      </c>
    </row>
    <row r="363" spans="1:29" x14ac:dyDescent="0.3">
      <c r="A363" s="13">
        <v>361</v>
      </c>
      <c r="B363" s="25" t="s">
        <v>724</v>
      </c>
      <c r="C363" s="12" t="s">
        <v>105</v>
      </c>
      <c r="D363" s="65">
        <v>46381</v>
      </c>
      <c r="E363" s="24" t="s">
        <v>642</v>
      </c>
      <c r="F363" s="12" t="s">
        <v>35</v>
      </c>
      <c r="G363" s="12" t="s">
        <v>36</v>
      </c>
      <c r="H363" s="12" t="s">
        <v>125</v>
      </c>
      <c r="I363" s="12"/>
      <c r="J363" s="12"/>
      <c r="K363" s="21">
        <v>72124</v>
      </c>
      <c r="L363" s="12"/>
      <c r="M363" s="12">
        <v>6100</v>
      </c>
      <c r="N363" s="12"/>
      <c r="O363" s="12">
        <v>3967</v>
      </c>
      <c r="P363" s="12">
        <v>2000</v>
      </c>
      <c r="Q363" s="12">
        <v>1000</v>
      </c>
      <c r="R363" s="12"/>
      <c r="S363" s="12">
        <v>800</v>
      </c>
      <c r="T363" s="12">
        <v>5300</v>
      </c>
      <c r="U363" s="12">
        <v>3960</v>
      </c>
      <c r="V363" s="12">
        <f t="shared" si="7"/>
        <v>95251</v>
      </c>
      <c r="W363" s="12">
        <v>1818</v>
      </c>
      <c r="X363" s="12">
        <v>834</v>
      </c>
      <c r="Y363" s="12">
        <f>Table1[[#This Row],[LOAD K.M]]+Table1[[#This Row],[EMPTY K.M]]</f>
        <v>2652</v>
      </c>
      <c r="Z363" s="12">
        <f>Table1[[#This Row],[INVOICE AMOUNT2]]-Table1[[#This Row],[Total Exp.]]</f>
        <v>-95251</v>
      </c>
      <c r="AA363" s="12">
        <f>Table1[[#This Row],[Total Exp.]]/Table1[[#This Row],[Total k.m]]</f>
        <v>35.916666666666664</v>
      </c>
      <c r="AB363" s="12">
        <f>Table1[[#This Row],[Profit/loss]]/Table1[[#This Row],[Total k.m]]</f>
        <v>-35.916666666666664</v>
      </c>
      <c r="AC363" s="12">
        <f>Table1[[#This Row],[INVOICE AMOUNT2]]/Table1[[#This Row],[Total k.m]]</f>
        <v>0</v>
      </c>
    </row>
    <row r="364" spans="1:29" x14ac:dyDescent="0.3">
      <c r="A364" s="51">
        <v>362</v>
      </c>
      <c r="B364" s="25" t="s">
        <v>725</v>
      </c>
      <c r="C364" s="12" t="s">
        <v>93</v>
      </c>
      <c r="D364" s="65">
        <v>46381</v>
      </c>
      <c r="E364" s="24" t="s">
        <v>765</v>
      </c>
      <c r="F364" s="12" t="s">
        <v>65</v>
      </c>
      <c r="G364" s="12" t="s">
        <v>66</v>
      </c>
      <c r="H364" s="12" t="s">
        <v>32</v>
      </c>
      <c r="I364" s="12"/>
      <c r="J364" s="12"/>
      <c r="K364" s="21">
        <v>56300</v>
      </c>
      <c r="L364" s="12"/>
      <c r="M364" s="12">
        <v>6000</v>
      </c>
      <c r="N364" s="12"/>
      <c r="O364" s="12"/>
      <c r="P364" s="12">
        <v>2000</v>
      </c>
      <c r="Q364" s="12">
        <v>1000</v>
      </c>
      <c r="R364" s="12"/>
      <c r="S364" s="12">
        <v>450</v>
      </c>
      <c r="T364" s="12"/>
      <c r="U364" s="12">
        <v>2640</v>
      </c>
      <c r="V364" s="12">
        <f t="shared" si="7"/>
        <v>68390</v>
      </c>
      <c r="W364" s="12">
        <v>1984</v>
      </c>
      <c r="X364" s="12">
        <v>43</v>
      </c>
      <c r="Y364" s="12">
        <f>Table1[[#This Row],[LOAD K.M]]+Table1[[#This Row],[EMPTY K.M]]</f>
        <v>2027</v>
      </c>
      <c r="Z364" s="12">
        <f>Table1[[#This Row],[INVOICE AMOUNT2]]-Table1[[#This Row],[Total Exp.]]</f>
        <v>-68390</v>
      </c>
      <c r="AA364" s="12">
        <f>Table1[[#This Row],[Total Exp.]]/Table1[[#This Row],[Total k.m]]</f>
        <v>33.739516526887023</v>
      </c>
      <c r="AB364" s="12">
        <f>Table1[[#This Row],[Profit/loss]]/Table1[[#This Row],[Total k.m]]</f>
        <v>-33.739516526887023</v>
      </c>
      <c r="AC364" s="12">
        <f>Table1[[#This Row],[INVOICE AMOUNT2]]/Table1[[#This Row],[Total k.m]]</f>
        <v>0</v>
      </c>
    </row>
    <row r="365" spans="1:29" x14ac:dyDescent="0.3">
      <c r="A365" s="51">
        <v>363</v>
      </c>
      <c r="B365" s="25" t="s">
        <v>726</v>
      </c>
      <c r="C365" s="12" t="s">
        <v>87</v>
      </c>
      <c r="D365" s="65">
        <v>46351</v>
      </c>
      <c r="E365" s="24" t="s">
        <v>767</v>
      </c>
      <c r="F365" s="12" t="s">
        <v>30</v>
      </c>
      <c r="G365" s="12" t="s">
        <v>326</v>
      </c>
      <c r="H365" s="12" t="s">
        <v>32</v>
      </c>
      <c r="I365" s="12"/>
      <c r="J365" s="12"/>
      <c r="K365" s="27">
        <v>25284</v>
      </c>
      <c r="L365" s="12"/>
      <c r="M365" s="12">
        <v>3000</v>
      </c>
      <c r="N365" s="12"/>
      <c r="O365" s="12">
        <v>800</v>
      </c>
      <c r="P365" s="12"/>
      <c r="Q365" s="12">
        <v>1000</v>
      </c>
      <c r="R365" s="12"/>
      <c r="S365" s="12"/>
      <c r="T365" s="12"/>
      <c r="U365" s="12">
        <v>2451</v>
      </c>
      <c r="V365" s="12">
        <f t="shared" si="7"/>
        <v>32535</v>
      </c>
      <c r="W365" s="12">
        <v>483</v>
      </c>
      <c r="X365" s="12">
        <v>516</v>
      </c>
      <c r="Y365" s="12">
        <f>Table1[[#This Row],[LOAD K.M]]+Table1[[#This Row],[EMPTY K.M]]</f>
        <v>999</v>
      </c>
      <c r="Z365" s="12">
        <f>Table1[[#This Row],[INVOICE AMOUNT2]]-Table1[[#This Row],[Total Exp.]]</f>
        <v>-32535</v>
      </c>
      <c r="AA365" s="12">
        <f>Table1[[#This Row],[Total Exp.]]/Table1[[#This Row],[Total k.m]]</f>
        <v>32.567567567567565</v>
      </c>
      <c r="AB365" s="12">
        <f>Table1[[#This Row],[Profit/loss]]/Table1[[#This Row],[Total k.m]]</f>
        <v>-32.567567567567565</v>
      </c>
      <c r="AC365" s="12">
        <f>Table1[[#This Row],[INVOICE AMOUNT2]]/Table1[[#This Row],[Total k.m]]</f>
        <v>0</v>
      </c>
    </row>
    <row r="366" spans="1:29" x14ac:dyDescent="0.3">
      <c r="A366" s="13">
        <v>364</v>
      </c>
      <c r="B366" s="25" t="s">
        <v>727</v>
      </c>
      <c r="C366" s="12" t="s">
        <v>39</v>
      </c>
      <c r="D366" s="65">
        <v>46048</v>
      </c>
      <c r="E366" s="24" t="s">
        <v>768</v>
      </c>
      <c r="F366" s="12" t="s">
        <v>65</v>
      </c>
      <c r="G366" s="12" t="s">
        <v>66</v>
      </c>
      <c r="H366" s="12" t="s">
        <v>769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>
        <f t="shared" si="7"/>
        <v>0</v>
      </c>
      <c r="W366" s="12"/>
      <c r="X366" s="12"/>
      <c r="Y366" s="12">
        <f>Table1[[#This Row],[LOAD K.M]]+Table1[[#This Row],[EMPTY K.M]]</f>
        <v>0</v>
      </c>
      <c r="Z366" s="12">
        <f>Table1[[#This Row],[INVOICE AMOUNT2]]-Table1[[#This Row],[Total Exp.]]</f>
        <v>0</v>
      </c>
      <c r="AA366" s="12" t="e">
        <f>Table1[[#This Row],[Total Exp.]]/Table1[[#This Row],[Total k.m]]</f>
        <v>#DIV/0!</v>
      </c>
      <c r="AB366" s="12" t="e">
        <f>Table1[[#This Row],[Profit/loss]]/Table1[[#This Row],[Total k.m]]</f>
        <v>#DIV/0!</v>
      </c>
      <c r="AC366" s="12" t="e">
        <f>Table1[[#This Row],[INVOICE AMOUNT2]]/Table1[[#This Row],[Total k.m]]</f>
        <v>#DIV/0!</v>
      </c>
    </row>
    <row r="367" spans="1:29" x14ac:dyDescent="0.3">
      <c r="A367" s="51">
        <v>365</v>
      </c>
      <c r="B367" s="25" t="s">
        <v>728</v>
      </c>
      <c r="C367" s="12" t="s">
        <v>69</v>
      </c>
      <c r="D367" s="65">
        <v>46048</v>
      </c>
      <c r="E367" s="24" t="s">
        <v>768</v>
      </c>
      <c r="F367" s="12" t="s">
        <v>742</v>
      </c>
      <c r="G367" s="12" t="s">
        <v>197</v>
      </c>
      <c r="H367" s="12" t="s">
        <v>763</v>
      </c>
      <c r="I367" s="12">
        <v>6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>
        <f t="shared" si="7"/>
        <v>0</v>
      </c>
      <c r="W367" s="12"/>
      <c r="X367" s="12"/>
      <c r="Y367" s="12">
        <f>Table1[[#This Row],[LOAD K.M]]+Table1[[#This Row],[EMPTY K.M]]</f>
        <v>0</v>
      </c>
      <c r="Z367" s="12">
        <f>Table1[[#This Row],[INVOICE AMOUNT2]]-Table1[[#This Row],[Total Exp.]]</f>
        <v>0</v>
      </c>
      <c r="AA367" s="12" t="e">
        <f>Table1[[#This Row],[Total Exp.]]/Table1[[#This Row],[Total k.m]]</f>
        <v>#DIV/0!</v>
      </c>
      <c r="AB367" s="12" t="e">
        <f>Table1[[#This Row],[Profit/loss]]/Table1[[#This Row],[Total k.m]]</f>
        <v>#DIV/0!</v>
      </c>
      <c r="AC367" s="12" t="e">
        <f>Table1[[#This Row],[INVOICE AMOUNT2]]/Table1[[#This Row],[Total k.m]]</f>
        <v>#DIV/0!</v>
      </c>
    </row>
    <row r="368" spans="1:29" x14ac:dyDescent="0.3">
      <c r="A368" s="51">
        <v>366</v>
      </c>
      <c r="B368" s="25" t="s">
        <v>729</v>
      </c>
      <c r="C368" s="75" t="s">
        <v>105</v>
      </c>
      <c r="D368" s="65">
        <v>46048</v>
      </c>
      <c r="E368" s="77" t="s">
        <v>770</v>
      </c>
      <c r="F368" s="75" t="s">
        <v>35</v>
      </c>
      <c r="G368" s="75" t="s">
        <v>250</v>
      </c>
      <c r="H368" s="78" t="s">
        <v>773</v>
      </c>
      <c r="I368" s="12">
        <v>8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>
        <f t="shared" si="7"/>
        <v>0</v>
      </c>
      <c r="W368" s="12"/>
      <c r="X368" s="12"/>
      <c r="Y368" s="12">
        <f>Table1[[#This Row],[LOAD K.M]]+Table1[[#This Row],[EMPTY K.M]]</f>
        <v>0</v>
      </c>
      <c r="Z368" s="12">
        <f>Table1[[#This Row],[INVOICE AMOUNT2]]-Table1[[#This Row],[Total Exp.]]</f>
        <v>0</v>
      </c>
      <c r="AA368" s="12" t="e">
        <f>Table1[[#This Row],[Total Exp.]]/Table1[[#This Row],[Total k.m]]</f>
        <v>#DIV/0!</v>
      </c>
      <c r="AB368" s="12" t="e">
        <f>Table1[[#This Row],[Profit/loss]]/Table1[[#This Row],[Total k.m]]</f>
        <v>#DIV/0!</v>
      </c>
      <c r="AC368" s="12" t="e">
        <f>Table1[[#This Row],[INVOICE AMOUNT2]]/Table1[[#This Row],[Total k.m]]</f>
        <v>#DIV/0!</v>
      </c>
    </row>
    <row r="369" spans="1:29" x14ac:dyDescent="0.3">
      <c r="A369" s="13">
        <v>367</v>
      </c>
      <c r="B369" s="25" t="s">
        <v>730</v>
      </c>
      <c r="C369" s="76" t="s">
        <v>29</v>
      </c>
      <c r="D369" s="65">
        <v>46048</v>
      </c>
      <c r="E369" s="77" t="s">
        <v>770</v>
      </c>
      <c r="F369" s="75" t="s">
        <v>35</v>
      </c>
      <c r="G369" s="75" t="s">
        <v>36</v>
      </c>
      <c r="H369" s="78" t="s">
        <v>740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>
        <f t="shared" si="7"/>
        <v>0</v>
      </c>
      <c r="W369" s="12"/>
      <c r="X369" s="12"/>
      <c r="Y369" s="12">
        <f>Table1[[#This Row],[LOAD K.M]]+Table1[[#This Row],[EMPTY K.M]]</f>
        <v>0</v>
      </c>
      <c r="Z369" s="12">
        <f>Table1[[#This Row],[INVOICE AMOUNT2]]-Table1[[#This Row],[Total Exp.]]</f>
        <v>0</v>
      </c>
      <c r="AA369" s="12" t="e">
        <f>Table1[[#This Row],[Total Exp.]]/Table1[[#This Row],[Total k.m]]</f>
        <v>#DIV/0!</v>
      </c>
      <c r="AB369" s="12" t="e">
        <f>Table1[[#This Row],[Profit/loss]]/Table1[[#This Row],[Total k.m]]</f>
        <v>#DIV/0!</v>
      </c>
      <c r="AC369" s="12" t="e">
        <f>Table1[[#This Row],[INVOICE AMOUNT2]]/Table1[[#This Row],[Total k.m]]</f>
        <v>#DIV/0!</v>
      </c>
    </row>
    <row r="370" spans="1:29" x14ac:dyDescent="0.3">
      <c r="A370" s="51">
        <v>368</v>
      </c>
      <c r="B370" s="25" t="s">
        <v>731</v>
      </c>
      <c r="C370" s="75" t="s">
        <v>59</v>
      </c>
      <c r="D370" s="65">
        <v>46048</v>
      </c>
      <c r="E370" s="77" t="s">
        <v>771</v>
      </c>
      <c r="F370" s="75" t="s">
        <v>178</v>
      </c>
      <c r="G370" s="75" t="s">
        <v>309</v>
      </c>
      <c r="H370" s="78" t="s">
        <v>66</v>
      </c>
      <c r="I370" s="12">
        <v>8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>
        <f t="shared" si="7"/>
        <v>0</v>
      </c>
      <c r="W370" s="12"/>
      <c r="X370" s="12"/>
      <c r="Y370" s="12">
        <f>Table1[[#This Row],[LOAD K.M]]+Table1[[#This Row],[EMPTY K.M]]</f>
        <v>0</v>
      </c>
      <c r="Z370" s="12">
        <f>Table1[[#This Row],[INVOICE AMOUNT2]]-Table1[[#This Row],[Total Exp.]]</f>
        <v>0</v>
      </c>
      <c r="AA370" s="12" t="e">
        <f>Table1[[#This Row],[Total Exp.]]/Table1[[#This Row],[Total k.m]]</f>
        <v>#DIV/0!</v>
      </c>
      <c r="AB370" s="12" t="e">
        <f>Table1[[#This Row],[Profit/loss]]/Table1[[#This Row],[Total k.m]]</f>
        <v>#DIV/0!</v>
      </c>
      <c r="AC370" s="12" t="e">
        <f>Table1[[#This Row],[INVOICE AMOUNT2]]/Table1[[#This Row],[Total k.m]]</f>
        <v>#DIV/0!</v>
      </c>
    </row>
    <row r="371" spans="1:29" x14ac:dyDescent="0.3">
      <c r="A371" s="51">
        <v>369</v>
      </c>
      <c r="B371" s="25" t="s">
        <v>732</v>
      </c>
      <c r="C371" s="76" t="s">
        <v>87</v>
      </c>
      <c r="D371" s="65">
        <v>46048</v>
      </c>
      <c r="E371" s="77" t="s">
        <v>771</v>
      </c>
      <c r="F371" s="75" t="s">
        <v>35</v>
      </c>
      <c r="G371" s="75" t="s">
        <v>250</v>
      </c>
      <c r="H371" s="78" t="s">
        <v>138</v>
      </c>
      <c r="I371" s="12">
        <v>8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>
        <f t="shared" si="7"/>
        <v>0</v>
      </c>
      <c r="W371" s="12"/>
      <c r="X371" s="12"/>
      <c r="Y371" s="12">
        <f>Table1[[#This Row],[LOAD K.M]]+Table1[[#This Row],[EMPTY K.M]]</f>
        <v>0</v>
      </c>
      <c r="Z371" s="12">
        <f>Table1[[#This Row],[INVOICE AMOUNT2]]-Table1[[#This Row],[Total Exp.]]</f>
        <v>0</v>
      </c>
      <c r="AA371" s="12" t="e">
        <f>Table1[[#This Row],[Total Exp.]]/Table1[[#This Row],[Total k.m]]</f>
        <v>#DIV/0!</v>
      </c>
      <c r="AB371" s="12" t="e">
        <f>Table1[[#This Row],[Profit/loss]]/Table1[[#This Row],[Total k.m]]</f>
        <v>#DIV/0!</v>
      </c>
      <c r="AC371" s="12" t="e">
        <f>Table1[[#This Row],[INVOICE AMOUNT2]]/Table1[[#This Row],[Total k.m]]</f>
        <v>#DIV/0!</v>
      </c>
    </row>
    <row r="372" spans="1:29" x14ac:dyDescent="0.3">
      <c r="A372" s="13">
        <v>370</v>
      </c>
      <c r="B372" s="25" t="s">
        <v>733</v>
      </c>
      <c r="C372" s="76" t="s">
        <v>46</v>
      </c>
      <c r="D372" s="65">
        <v>46048</v>
      </c>
      <c r="E372" s="77" t="s">
        <v>771</v>
      </c>
      <c r="F372" s="75" t="s">
        <v>65</v>
      </c>
      <c r="G372" s="75" t="s">
        <v>66</v>
      </c>
      <c r="H372" s="79" t="s">
        <v>32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>
        <f t="shared" si="7"/>
        <v>0</v>
      </c>
      <c r="W372" s="12"/>
      <c r="X372" s="12"/>
      <c r="Y372" s="12">
        <f>Table1[[#This Row],[LOAD K.M]]+Table1[[#This Row],[EMPTY K.M]]</f>
        <v>0</v>
      </c>
      <c r="Z372" s="12">
        <f>Table1[[#This Row],[INVOICE AMOUNT2]]-Table1[[#This Row],[Total Exp.]]</f>
        <v>0</v>
      </c>
      <c r="AA372" s="12" t="e">
        <f>Table1[[#This Row],[Total Exp.]]/Table1[[#This Row],[Total k.m]]</f>
        <v>#DIV/0!</v>
      </c>
      <c r="AB372" s="12" t="e">
        <f>Table1[[#This Row],[Profit/loss]]/Table1[[#This Row],[Total k.m]]</f>
        <v>#DIV/0!</v>
      </c>
      <c r="AC372" s="12" t="e">
        <f>Table1[[#This Row],[INVOICE AMOUNT2]]/Table1[[#This Row],[Total k.m]]</f>
        <v>#DIV/0!</v>
      </c>
    </row>
    <row r="373" spans="1:29" x14ac:dyDescent="0.3">
      <c r="A373" s="51">
        <v>371</v>
      </c>
      <c r="B373" s="25" t="s">
        <v>734</v>
      </c>
      <c r="C373" s="76" t="s">
        <v>84</v>
      </c>
      <c r="D373" s="65">
        <v>46048</v>
      </c>
      <c r="E373" s="77" t="s">
        <v>772</v>
      </c>
      <c r="F373" s="76" t="s">
        <v>35</v>
      </c>
      <c r="G373" s="76" t="s">
        <v>36</v>
      </c>
      <c r="H373" s="79" t="s">
        <v>774</v>
      </c>
      <c r="I373" s="12">
        <v>8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>
        <f t="shared" si="7"/>
        <v>0</v>
      </c>
      <c r="W373" s="12"/>
      <c r="X373" s="12"/>
      <c r="Y373" s="12">
        <f>Table1[[#This Row],[LOAD K.M]]+Table1[[#This Row],[EMPTY K.M]]</f>
        <v>0</v>
      </c>
      <c r="Z373" s="12">
        <f>Table1[[#This Row],[INVOICE AMOUNT2]]-Table1[[#This Row],[Total Exp.]]</f>
        <v>0</v>
      </c>
      <c r="AA373" s="12" t="e">
        <f>Table1[[#This Row],[Total Exp.]]/Table1[[#This Row],[Total k.m]]</f>
        <v>#DIV/0!</v>
      </c>
      <c r="AB373" s="12" t="e">
        <f>Table1[[#This Row],[Profit/loss]]/Table1[[#This Row],[Total k.m]]</f>
        <v>#DIV/0!</v>
      </c>
      <c r="AC373" s="12" t="e">
        <f>Table1[[#This Row],[INVOICE AMOUNT2]]/Table1[[#This Row],[Total k.m]]</f>
        <v>#DIV/0!</v>
      </c>
    </row>
    <row r="374" spans="1:29" x14ac:dyDescent="0.3">
      <c r="A374" s="51">
        <v>372</v>
      </c>
      <c r="B374" s="25" t="s">
        <v>735</v>
      </c>
      <c r="C374" s="75" t="s">
        <v>102</v>
      </c>
      <c r="D374" s="65">
        <v>46048</v>
      </c>
      <c r="E374" s="77" t="s">
        <v>772</v>
      </c>
      <c r="F374" s="75" t="s">
        <v>65</v>
      </c>
      <c r="G374" s="75" t="s">
        <v>66</v>
      </c>
      <c r="H374" s="78" t="s">
        <v>36</v>
      </c>
      <c r="I374" s="12">
        <v>8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>
        <f t="shared" si="7"/>
        <v>0</v>
      </c>
      <c r="W374" s="12"/>
      <c r="X374" s="12"/>
      <c r="Y374" s="12">
        <f>Table1[[#This Row],[LOAD K.M]]+Table1[[#This Row],[EMPTY K.M]]</f>
        <v>0</v>
      </c>
      <c r="Z374" s="12">
        <f>Table1[[#This Row],[INVOICE AMOUNT2]]-Table1[[#This Row],[Total Exp.]]</f>
        <v>0</v>
      </c>
      <c r="AA374" s="12" t="e">
        <f>Table1[[#This Row],[Total Exp.]]/Table1[[#This Row],[Total k.m]]</f>
        <v>#DIV/0!</v>
      </c>
      <c r="AB374" s="12" t="e">
        <f>Table1[[#This Row],[Profit/loss]]/Table1[[#This Row],[Total k.m]]</f>
        <v>#DIV/0!</v>
      </c>
      <c r="AC374" s="12" t="e">
        <f>Table1[[#This Row],[INVOICE AMOUNT2]]/Table1[[#This Row],[Total k.m]]</f>
        <v>#DIV/0!</v>
      </c>
    </row>
    <row r="375" spans="1:29" x14ac:dyDescent="0.3">
      <c r="A375" s="13">
        <v>373</v>
      </c>
      <c r="B375" s="25" t="s">
        <v>736</v>
      </c>
      <c r="C375" s="76" t="s">
        <v>93</v>
      </c>
      <c r="D375" s="65">
        <v>46048</v>
      </c>
      <c r="E375" s="77" t="s">
        <v>772</v>
      </c>
      <c r="F375" s="75" t="s">
        <v>742</v>
      </c>
      <c r="G375" s="75" t="s">
        <v>763</v>
      </c>
      <c r="H375" s="78" t="s">
        <v>32</v>
      </c>
      <c r="I375" s="12">
        <v>6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>
        <f t="shared" si="7"/>
        <v>0</v>
      </c>
      <c r="W375" s="12"/>
      <c r="X375" s="12"/>
      <c r="Y375" s="12">
        <f>Table1[[#This Row],[LOAD K.M]]+Table1[[#This Row],[EMPTY K.M]]</f>
        <v>0</v>
      </c>
      <c r="Z375" s="12">
        <f>Table1[[#This Row],[INVOICE AMOUNT2]]-Table1[[#This Row],[Total Exp.]]</f>
        <v>0</v>
      </c>
      <c r="AA375" s="12" t="e">
        <f>Table1[[#This Row],[Total Exp.]]/Table1[[#This Row],[Total k.m]]</f>
        <v>#DIV/0!</v>
      </c>
      <c r="AB375" s="12" t="e">
        <f>Table1[[#This Row],[Profit/loss]]/Table1[[#This Row],[Total k.m]]</f>
        <v>#DIV/0!</v>
      </c>
      <c r="AC375" s="12" t="e">
        <f>Table1[[#This Row],[INVOICE AMOUNT2]]/Table1[[#This Row],[Total k.m]]</f>
        <v>#DIV/0!</v>
      </c>
    </row>
    <row r="376" spans="1:29" x14ac:dyDescent="0.3">
      <c r="A376" s="51">
        <v>374</v>
      </c>
      <c r="B376" s="25" t="s">
        <v>737</v>
      </c>
      <c r="C376" s="75" t="s">
        <v>95</v>
      </c>
      <c r="D376" s="65">
        <v>46048</v>
      </c>
      <c r="E376" s="77" t="s">
        <v>797</v>
      </c>
      <c r="F376" s="75" t="s">
        <v>35</v>
      </c>
      <c r="G376" s="75" t="s">
        <v>36</v>
      </c>
      <c r="H376" s="78" t="s">
        <v>295</v>
      </c>
      <c r="I376" s="12">
        <v>8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>
        <f t="shared" si="7"/>
        <v>0</v>
      </c>
      <c r="W376" s="12"/>
      <c r="X376" s="12"/>
      <c r="Y376" s="12">
        <f>Table1[[#This Row],[LOAD K.M]]+Table1[[#This Row],[EMPTY K.M]]</f>
        <v>0</v>
      </c>
      <c r="Z376" s="12">
        <f>Table1[[#This Row],[INVOICE AMOUNT2]]-Table1[[#This Row],[Total Exp.]]</f>
        <v>0</v>
      </c>
      <c r="AA376" s="12" t="e">
        <f>Table1[[#This Row],[Total Exp.]]/Table1[[#This Row],[Total k.m]]</f>
        <v>#DIV/0!</v>
      </c>
      <c r="AB376" s="12" t="e">
        <f>Table1[[#This Row],[Profit/loss]]/Table1[[#This Row],[Total k.m]]</f>
        <v>#DIV/0!</v>
      </c>
      <c r="AC376" s="12" t="e">
        <f>Table1[[#This Row],[INVOICE AMOUNT2]]/Table1[[#This Row],[Total k.m]]</f>
        <v>#DIV/0!</v>
      </c>
    </row>
    <row r="377" spans="1:29" x14ac:dyDescent="0.3">
      <c r="A377" s="51">
        <v>375</v>
      </c>
      <c r="B377" s="25" t="s">
        <v>738</v>
      </c>
      <c r="C377" s="76" t="s">
        <v>69</v>
      </c>
      <c r="D377" s="65">
        <v>46048</v>
      </c>
      <c r="E377" s="77" t="s">
        <v>797</v>
      </c>
      <c r="F377" s="75" t="s">
        <v>742</v>
      </c>
      <c r="G377" s="75" t="s">
        <v>763</v>
      </c>
      <c r="H377" s="78" t="s">
        <v>32</v>
      </c>
      <c r="I377" s="12">
        <v>6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>
        <f t="shared" si="7"/>
        <v>0</v>
      </c>
      <c r="W377" s="12"/>
      <c r="X377" s="12"/>
      <c r="Y377" s="12">
        <f>Table1[[#This Row],[LOAD K.M]]+Table1[[#This Row],[EMPTY K.M]]</f>
        <v>0</v>
      </c>
      <c r="Z377" s="12">
        <f>Table1[[#This Row],[INVOICE AMOUNT2]]-Table1[[#This Row],[Total Exp.]]</f>
        <v>0</v>
      </c>
      <c r="AA377" s="12" t="e">
        <f>Table1[[#This Row],[Total Exp.]]/Table1[[#This Row],[Total k.m]]</f>
        <v>#DIV/0!</v>
      </c>
      <c r="AB377" s="12" t="e">
        <f>Table1[[#This Row],[Profit/loss]]/Table1[[#This Row],[Total k.m]]</f>
        <v>#DIV/0!</v>
      </c>
      <c r="AC377" s="12" t="e">
        <f>Table1[[#This Row],[INVOICE AMOUNT2]]/Table1[[#This Row],[Total k.m]]</f>
        <v>#DIV/0!</v>
      </c>
    </row>
    <row r="378" spans="1:29" x14ac:dyDescent="0.3">
      <c r="A378" s="51">
        <v>376</v>
      </c>
      <c r="B378" s="25" t="s">
        <v>775</v>
      </c>
      <c r="C378" s="76" t="s">
        <v>63</v>
      </c>
      <c r="D378" s="65">
        <v>46048</v>
      </c>
      <c r="E378" s="77" t="s">
        <v>797</v>
      </c>
      <c r="F378" s="75" t="s">
        <v>35</v>
      </c>
      <c r="G378" s="75" t="s">
        <v>250</v>
      </c>
      <c r="H378" s="79" t="s">
        <v>798</v>
      </c>
      <c r="I378" s="12">
        <v>7</v>
      </c>
      <c r="J378" s="12" t="s">
        <v>636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>
        <f t="shared" ref="V378:V399" si="8">SUM(K378:U378)</f>
        <v>0</v>
      </c>
      <c r="W378" s="12"/>
      <c r="X378" s="12"/>
      <c r="Y378" s="12">
        <f>Table1[[#This Row],[LOAD K.M]]+Table1[[#This Row],[EMPTY K.M]]</f>
        <v>0</v>
      </c>
      <c r="Z378" s="12" t="e">
        <f>Table1[[#This Row],[INVOICE AMOUNT2]]-Table1[[#This Row],[Total Exp.]]</f>
        <v>#VALUE!</v>
      </c>
      <c r="AA378" s="12" t="e">
        <f>Table1[[#This Row],[Total Exp.]]/Table1[[#This Row],[Total k.m]]</f>
        <v>#DIV/0!</v>
      </c>
      <c r="AB378" s="12" t="e">
        <f>Table1[[#This Row],[Profit/loss]]/Table1[[#This Row],[Total k.m]]</f>
        <v>#VALUE!</v>
      </c>
      <c r="AC378" s="12" t="e">
        <f>Table1[[#This Row],[INVOICE AMOUNT2]]/Table1[[#This Row],[Total k.m]]</f>
        <v>#VALUE!</v>
      </c>
    </row>
    <row r="379" spans="1:29" x14ac:dyDescent="0.3">
      <c r="A379" s="51">
        <v>377</v>
      </c>
      <c r="B379" s="25" t="s">
        <v>776</v>
      </c>
      <c r="C379" s="76" t="s">
        <v>77</v>
      </c>
      <c r="D379" s="65">
        <v>46048</v>
      </c>
      <c r="E379" s="77" t="s">
        <v>797</v>
      </c>
      <c r="F379" s="75" t="s">
        <v>35</v>
      </c>
      <c r="G379" s="75" t="s">
        <v>250</v>
      </c>
      <c r="H379" s="79" t="s">
        <v>799</v>
      </c>
      <c r="I379" s="12">
        <v>8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>
        <f t="shared" si="8"/>
        <v>0</v>
      </c>
      <c r="W379" s="12"/>
      <c r="X379" s="12"/>
      <c r="Y379" s="12">
        <f>Table1[[#This Row],[LOAD K.M]]+Table1[[#This Row],[EMPTY K.M]]</f>
        <v>0</v>
      </c>
      <c r="Z379" s="12">
        <f>Table1[[#This Row],[INVOICE AMOUNT2]]-Table1[[#This Row],[Total Exp.]]</f>
        <v>0</v>
      </c>
      <c r="AA379" s="12" t="e">
        <f>Table1[[#This Row],[Total Exp.]]/Table1[[#This Row],[Total k.m]]</f>
        <v>#DIV/0!</v>
      </c>
      <c r="AB379" s="12" t="e">
        <f>Table1[[#This Row],[Profit/loss]]/Table1[[#This Row],[Total k.m]]</f>
        <v>#DIV/0!</v>
      </c>
      <c r="AC379" s="12" t="e">
        <f>Table1[[#This Row],[INVOICE AMOUNT2]]/Table1[[#This Row],[Total k.m]]</f>
        <v>#DIV/0!</v>
      </c>
    </row>
    <row r="380" spans="1:29" x14ac:dyDescent="0.3">
      <c r="A380" s="51">
        <v>378</v>
      </c>
      <c r="B380" s="25" t="s">
        <v>777</v>
      </c>
      <c r="C380" s="76" t="s">
        <v>109</v>
      </c>
      <c r="D380" s="65">
        <v>46048</v>
      </c>
      <c r="E380" s="77" t="s">
        <v>797</v>
      </c>
      <c r="F380" s="76" t="s">
        <v>178</v>
      </c>
      <c r="G380" s="76" t="s">
        <v>309</v>
      </c>
      <c r="H380" s="79" t="s">
        <v>800</v>
      </c>
      <c r="I380" s="12">
        <v>7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>
        <f t="shared" si="8"/>
        <v>0</v>
      </c>
      <c r="W380" s="12"/>
      <c r="X380" s="12"/>
      <c r="Y380" s="12">
        <f>Table1[[#This Row],[LOAD K.M]]+Table1[[#This Row],[EMPTY K.M]]</f>
        <v>0</v>
      </c>
      <c r="Z380" s="12">
        <f>Table1[[#This Row],[INVOICE AMOUNT2]]-Table1[[#This Row],[Total Exp.]]</f>
        <v>0</v>
      </c>
      <c r="AA380" s="12" t="e">
        <f>Table1[[#This Row],[Total Exp.]]/Table1[[#This Row],[Total k.m]]</f>
        <v>#DIV/0!</v>
      </c>
      <c r="AB380" s="12" t="e">
        <f>Table1[[#This Row],[Profit/loss]]/Table1[[#This Row],[Total k.m]]</f>
        <v>#DIV/0!</v>
      </c>
      <c r="AC380" s="12" t="e">
        <f>Table1[[#This Row],[INVOICE AMOUNT2]]/Table1[[#This Row],[Total k.m]]</f>
        <v>#DIV/0!</v>
      </c>
    </row>
    <row r="381" spans="1:29" x14ac:dyDescent="0.3">
      <c r="A381" s="51">
        <v>379</v>
      </c>
      <c r="B381" s="25" t="s">
        <v>778</v>
      </c>
      <c r="C381" s="12"/>
      <c r="D381" s="12"/>
      <c r="E381" s="24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>
        <f t="shared" si="8"/>
        <v>0</v>
      </c>
      <c r="W381" s="12"/>
      <c r="X381" s="12"/>
      <c r="Y381" s="12">
        <f>Table1[[#This Row],[LOAD K.M]]+Table1[[#This Row],[EMPTY K.M]]</f>
        <v>0</v>
      </c>
      <c r="Z381" s="12">
        <f>Table1[[#This Row],[INVOICE AMOUNT2]]-Table1[[#This Row],[Total Exp.]]</f>
        <v>0</v>
      </c>
      <c r="AA381" s="12" t="e">
        <f>Table1[[#This Row],[Total Exp.]]/Table1[[#This Row],[Total k.m]]</f>
        <v>#DIV/0!</v>
      </c>
      <c r="AB381" s="12" t="e">
        <f>Table1[[#This Row],[Profit/loss]]/Table1[[#This Row],[Total k.m]]</f>
        <v>#DIV/0!</v>
      </c>
      <c r="AC381" s="12" t="e">
        <f>Table1[[#This Row],[INVOICE AMOUNT2]]/Table1[[#This Row],[Total k.m]]</f>
        <v>#DIV/0!</v>
      </c>
    </row>
    <row r="382" spans="1:29" x14ac:dyDescent="0.3">
      <c r="A382" s="51">
        <v>380</v>
      </c>
      <c r="B382" s="25" t="s">
        <v>779</v>
      </c>
      <c r="C382" s="12"/>
      <c r="D382" s="12"/>
      <c r="E382" s="24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>
        <f t="shared" si="8"/>
        <v>0</v>
      </c>
      <c r="W382" s="12"/>
      <c r="X382" s="12"/>
      <c r="Y382" s="12">
        <f>Table1[[#This Row],[LOAD K.M]]+Table1[[#This Row],[EMPTY K.M]]</f>
        <v>0</v>
      </c>
      <c r="Z382" s="12">
        <f>Table1[[#This Row],[INVOICE AMOUNT2]]-Table1[[#This Row],[Total Exp.]]</f>
        <v>0</v>
      </c>
      <c r="AA382" s="12" t="e">
        <f>Table1[[#This Row],[Total Exp.]]/Table1[[#This Row],[Total k.m]]</f>
        <v>#DIV/0!</v>
      </c>
      <c r="AB382" s="12" t="e">
        <f>Table1[[#This Row],[Profit/loss]]/Table1[[#This Row],[Total k.m]]</f>
        <v>#DIV/0!</v>
      </c>
      <c r="AC382" s="12" t="e">
        <f>Table1[[#This Row],[INVOICE AMOUNT2]]/Table1[[#This Row],[Total k.m]]</f>
        <v>#DIV/0!</v>
      </c>
    </row>
    <row r="383" spans="1:29" x14ac:dyDescent="0.3">
      <c r="A383" s="51">
        <v>381</v>
      </c>
      <c r="B383" s="25" t="s">
        <v>780</v>
      </c>
      <c r="C383" s="12"/>
      <c r="D383" s="12"/>
      <c r="E383" s="24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>
        <f t="shared" si="8"/>
        <v>0</v>
      </c>
      <c r="W383" s="12"/>
      <c r="X383" s="12"/>
      <c r="Y383" s="12">
        <f>Table1[[#This Row],[LOAD K.M]]+Table1[[#This Row],[EMPTY K.M]]</f>
        <v>0</v>
      </c>
      <c r="Z383" s="12">
        <f>Table1[[#This Row],[INVOICE AMOUNT2]]-Table1[[#This Row],[Total Exp.]]</f>
        <v>0</v>
      </c>
      <c r="AA383" s="12" t="e">
        <f>Table1[[#This Row],[Total Exp.]]/Table1[[#This Row],[Total k.m]]</f>
        <v>#DIV/0!</v>
      </c>
      <c r="AB383" s="12" t="e">
        <f>Table1[[#This Row],[Profit/loss]]/Table1[[#This Row],[Total k.m]]</f>
        <v>#DIV/0!</v>
      </c>
      <c r="AC383" s="12" t="e">
        <f>Table1[[#This Row],[INVOICE AMOUNT2]]/Table1[[#This Row],[Total k.m]]</f>
        <v>#DIV/0!</v>
      </c>
    </row>
    <row r="384" spans="1:29" x14ac:dyDescent="0.3">
      <c r="A384" s="51">
        <v>382</v>
      </c>
      <c r="B384" s="25" t="s">
        <v>781</v>
      </c>
      <c r="C384" s="12"/>
      <c r="D384" s="12"/>
      <c r="E384" s="24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>
        <f t="shared" si="8"/>
        <v>0</v>
      </c>
      <c r="W384" s="12"/>
      <c r="X384" s="12"/>
      <c r="Y384" s="12">
        <f>Table1[[#This Row],[LOAD K.M]]+Table1[[#This Row],[EMPTY K.M]]</f>
        <v>0</v>
      </c>
      <c r="Z384" s="12">
        <f>Table1[[#This Row],[INVOICE AMOUNT2]]-Table1[[#This Row],[Total Exp.]]</f>
        <v>0</v>
      </c>
      <c r="AA384" s="12" t="e">
        <f>Table1[[#This Row],[Total Exp.]]/Table1[[#This Row],[Total k.m]]</f>
        <v>#DIV/0!</v>
      </c>
      <c r="AB384" s="12" t="e">
        <f>Table1[[#This Row],[Profit/loss]]/Table1[[#This Row],[Total k.m]]</f>
        <v>#DIV/0!</v>
      </c>
      <c r="AC384" s="12" t="e">
        <f>Table1[[#This Row],[INVOICE AMOUNT2]]/Table1[[#This Row],[Total k.m]]</f>
        <v>#DIV/0!</v>
      </c>
    </row>
    <row r="385" spans="1:29" x14ac:dyDescent="0.3">
      <c r="A385" s="51">
        <v>383</v>
      </c>
      <c r="B385" s="25" t="s">
        <v>782</v>
      </c>
      <c r="C385" s="12"/>
      <c r="D385" s="12"/>
      <c r="E385" s="24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>
        <f t="shared" si="8"/>
        <v>0</v>
      </c>
      <c r="W385" s="12"/>
      <c r="X385" s="12"/>
      <c r="Y385" s="12">
        <f>Table1[[#This Row],[LOAD K.M]]+Table1[[#This Row],[EMPTY K.M]]</f>
        <v>0</v>
      </c>
      <c r="Z385" s="12">
        <f>Table1[[#This Row],[INVOICE AMOUNT2]]-Table1[[#This Row],[Total Exp.]]</f>
        <v>0</v>
      </c>
      <c r="AA385" s="12" t="e">
        <f>Table1[[#This Row],[Total Exp.]]/Table1[[#This Row],[Total k.m]]</f>
        <v>#DIV/0!</v>
      </c>
      <c r="AB385" s="12" t="e">
        <f>Table1[[#This Row],[Profit/loss]]/Table1[[#This Row],[Total k.m]]</f>
        <v>#DIV/0!</v>
      </c>
      <c r="AC385" s="12" t="e">
        <f>Table1[[#This Row],[INVOICE AMOUNT2]]/Table1[[#This Row],[Total k.m]]</f>
        <v>#DIV/0!</v>
      </c>
    </row>
    <row r="386" spans="1:29" x14ac:dyDescent="0.3">
      <c r="A386" s="51">
        <v>384</v>
      </c>
      <c r="B386" s="25" t="s">
        <v>783</v>
      </c>
      <c r="C386" s="12"/>
      <c r="D386" s="12"/>
      <c r="E386" s="24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>
        <f t="shared" si="8"/>
        <v>0</v>
      </c>
      <c r="W386" s="12"/>
      <c r="X386" s="12"/>
      <c r="Y386" s="12">
        <f>Table1[[#This Row],[LOAD K.M]]+Table1[[#This Row],[EMPTY K.M]]</f>
        <v>0</v>
      </c>
      <c r="Z386" s="12">
        <f>Table1[[#This Row],[INVOICE AMOUNT2]]-Table1[[#This Row],[Total Exp.]]</f>
        <v>0</v>
      </c>
      <c r="AA386" s="12" t="e">
        <f>Table1[[#This Row],[Total Exp.]]/Table1[[#This Row],[Total k.m]]</f>
        <v>#DIV/0!</v>
      </c>
      <c r="AB386" s="12" t="e">
        <f>Table1[[#This Row],[Profit/loss]]/Table1[[#This Row],[Total k.m]]</f>
        <v>#DIV/0!</v>
      </c>
      <c r="AC386" s="12" t="e">
        <f>Table1[[#This Row],[INVOICE AMOUNT2]]/Table1[[#This Row],[Total k.m]]</f>
        <v>#DIV/0!</v>
      </c>
    </row>
    <row r="387" spans="1:29" x14ac:dyDescent="0.3">
      <c r="A387" s="51">
        <v>385</v>
      </c>
      <c r="B387" s="25" t="s">
        <v>784</v>
      </c>
      <c r="C387" s="12"/>
      <c r="D387" s="12"/>
      <c r="E387" s="24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>
        <f t="shared" si="8"/>
        <v>0</v>
      </c>
      <c r="W387" s="12"/>
      <c r="X387" s="12"/>
      <c r="Y387" s="12">
        <f>Table1[[#This Row],[LOAD K.M]]+Table1[[#This Row],[EMPTY K.M]]</f>
        <v>0</v>
      </c>
      <c r="Z387" s="12">
        <f>Table1[[#This Row],[INVOICE AMOUNT2]]-Table1[[#This Row],[Total Exp.]]</f>
        <v>0</v>
      </c>
      <c r="AA387" s="12" t="e">
        <f>Table1[[#This Row],[Total Exp.]]/Table1[[#This Row],[Total k.m]]</f>
        <v>#DIV/0!</v>
      </c>
      <c r="AB387" s="12" t="e">
        <f>Table1[[#This Row],[Profit/loss]]/Table1[[#This Row],[Total k.m]]</f>
        <v>#DIV/0!</v>
      </c>
      <c r="AC387" s="12" t="e">
        <f>Table1[[#This Row],[INVOICE AMOUNT2]]/Table1[[#This Row],[Total k.m]]</f>
        <v>#DIV/0!</v>
      </c>
    </row>
    <row r="388" spans="1:29" x14ac:dyDescent="0.3">
      <c r="A388" s="51">
        <v>386</v>
      </c>
      <c r="B388" s="25" t="s">
        <v>785</v>
      </c>
      <c r="C388" s="12"/>
      <c r="D388" s="12"/>
      <c r="E388" s="24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>
        <f t="shared" si="8"/>
        <v>0</v>
      </c>
      <c r="W388" s="12"/>
      <c r="X388" s="12"/>
      <c r="Y388" s="12">
        <f>Table1[[#This Row],[LOAD K.M]]+Table1[[#This Row],[EMPTY K.M]]</f>
        <v>0</v>
      </c>
      <c r="Z388" s="12">
        <f>Table1[[#This Row],[INVOICE AMOUNT2]]-Table1[[#This Row],[Total Exp.]]</f>
        <v>0</v>
      </c>
      <c r="AA388" s="12" t="e">
        <f>Table1[[#This Row],[Total Exp.]]/Table1[[#This Row],[Total k.m]]</f>
        <v>#DIV/0!</v>
      </c>
      <c r="AB388" s="12" t="e">
        <f>Table1[[#This Row],[Profit/loss]]/Table1[[#This Row],[Total k.m]]</f>
        <v>#DIV/0!</v>
      </c>
      <c r="AC388" s="12" t="e">
        <f>Table1[[#This Row],[INVOICE AMOUNT2]]/Table1[[#This Row],[Total k.m]]</f>
        <v>#DIV/0!</v>
      </c>
    </row>
    <row r="389" spans="1:29" x14ac:dyDescent="0.3">
      <c r="A389" s="51">
        <v>387</v>
      </c>
      <c r="B389" s="25" t="s">
        <v>786</v>
      </c>
      <c r="C389" s="12"/>
      <c r="D389" s="12"/>
      <c r="E389" s="24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>
        <f t="shared" si="8"/>
        <v>0</v>
      </c>
      <c r="W389" s="12"/>
      <c r="X389" s="12"/>
      <c r="Y389" s="12">
        <f>Table1[[#This Row],[LOAD K.M]]+Table1[[#This Row],[EMPTY K.M]]</f>
        <v>0</v>
      </c>
      <c r="Z389" s="12">
        <f>Table1[[#This Row],[INVOICE AMOUNT2]]-Table1[[#This Row],[Total Exp.]]</f>
        <v>0</v>
      </c>
      <c r="AA389" s="12" t="e">
        <f>Table1[[#This Row],[Total Exp.]]/Table1[[#This Row],[Total k.m]]</f>
        <v>#DIV/0!</v>
      </c>
      <c r="AB389" s="12" t="e">
        <f>Table1[[#This Row],[Profit/loss]]/Table1[[#This Row],[Total k.m]]</f>
        <v>#DIV/0!</v>
      </c>
      <c r="AC389" s="12" t="e">
        <f>Table1[[#This Row],[INVOICE AMOUNT2]]/Table1[[#This Row],[Total k.m]]</f>
        <v>#DIV/0!</v>
      </c>
    </row>
    <row r="390" spans="1:29" x14ac:dyDescent="0.3">
      <c r="A390" s="51">
        <v>388</v>
      </c>
      <c r="B390" s="25" t="s">
        <v>787</v>
      </c>
      <c r="C390" s="12"/>
      <c r="D390" s="12"/>
      <c r="E390" s="24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>
        <f t="shared" si="8"/>
        <v>0</v>
      </c>
      <c r="W390" s="12"/>
      <c r="X390" s="12"/>
      <c r="Y390" s="12">
        <f>Table1[[#This Row],[LOAD K.M]]+Table1[[#This Row],[EMPTY K.M]]</f>
        <v>0</v>
      </c>
      <c r="Z390" s="12">
        <f>Table1[[#This Row],[INVOICE AMOUNT2]]-Table1[[#This Row],[Total Exp.]]</f>
        <v>0</v>
      </c>
      <c r="AA390" s="12" t="e">
        <f>Table1[[#This Row],[Total Exp.]]/Table1[[#This Row],[Total k.m]]</f>
        <v>#DIV/0!</v>
      </c>
      <c r="AB390" s="12" t="e">
        <f>Table1[[#This Row],[Profit/loss]]/Table1[[#This Row],[Total k.m]]</f>
        <v>#DIV/0!</v>
      </c>
      <c r="AC390" s="12" t="e">
        <f>Table1[[#This Row],[INVOICE AMOUNT2]]/Table1[[#This Row],[Total k.m]]</f>
        <v>#DIV/0!</v>
      </c>
    </row>
    <row r="391" spans="1:29" x14ac:dyDescent="0.3">
      <c r="A391" s="51">
        <v>389</v>
      </c>
      <c r="B391" s="25" t="s">
        <v>788</v>
      </c>
      <c r="C391" s="12"/>
      <c r="D391" s="12"/>
      <c r="E391" s="24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>
        <f t="shared" si="8"/>
        <v>0</v>
      </c>
      <c r="W391" s="12"/>
      <c r="X391" s="12"/>
      <c r="Y391" s="12">
        <f>Table1[[#This Row],[LOAD K.M]]+Table1[[#This Row],[EMPTY K.M]]</f>
        <v>0</v>
      </c>
      <c r="Z391" s="12">
        <f>Table1[[#This Row],[INVOICE AMOUNT2]]-Table1[[#This Row],[Total Exp.]]</f>
        <v>0</v>
      </c>
      <c r="AA391" s="12" t="e">
        <f>Table1[[#This Row],[Total Exp.]]/Table1[[#This Row],[Total k.m]]</f>
        <v>#DIV/0!</v>
      </c>
      <c r="AB391" s="12" t="e">
        <f>Table1[[#This Row],[Profit/loss]]/Table1[[#This Row],[Total k.m]]</f>
        <v>#DIV/0!</v>
      </c>
      <c r="AC391" s="12" t="e">
        <f>Table1[[#This Row],[INVOICE AMOUNT2]]/Table1[[#This Row],[Total k.m]]</f>
        <v>#DIV/0!</v>
      </c>
    </row>
    <row r="392" spans="1:29" x14ac:dyDescent="0.3">
      <c r="A392" s="51">
        <v>390</v>
      </c>
      <c r="B392" s="25" t="s">
        <v>789</v>
      </c>
      <c r="C392" s="12"/>
      <c r="D392" s="12"/>
      <c r="E392" s="24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>
        <f t="shared" si="8"/>
        <v>0</v>
      </c>
      <c r="W392" s="12"/>
      <c r="X392" s="12"/>
      <c r="Y392" s="12">
        <f>Table1[[#This Row],[LOAD K.M]]+Table1[[#This Row],[EMPTY K.M]]</f>
        <v>0</v>
      </c>
      <c r="Z392" s="12">
        <f>Table1[[#This Row],[INVOICE AMOUNT2]]-Table1[[#This Row],[Total Exp.]]</f>
        <v>0</v>
      </c>
      <c r="AA392" s="12" t="e">
        <f>Table1[[#This Row],[Total Exp.]]/Table1[[#This Row],[Total k.m]]</f>
        <v>#DIV/0!</v>
      </c>
      <c r="AB392" s="12" t="e">
        <f>Table1[[#This Row],[Profit/loss]]/Table1[[#This Row],[Total k.m]]</f>
        <v>#DIV/0!</v>
      </c>
      <c r="AC392" s="12" t="e">
        <f>Table1[[#This Row],[INVOICE AMOUNT2]]/Table1[[#This Row],[Total k.m]]</f>
        <v>#DIV/0!</v>
      </c>
    </row>
    <row r="393" spans="1:29" x14ac:dyDescent="0.3">
      <c r="A393" s="51">
        <v>391</v>
      </c>
      <c r="B393" s="25" t="s">
        <v>790</v>
      </c>
      <c r="C393" s="12"/>
      <c r="D393" s="12"/>
      <c r="E393" s="24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>
        <f t="shared" si="8"/>
        <v>0</v>
      </c>
      <c r="W393" s="12"/>
      <c r="X393" s="12"/>
      <c r="Y393" s="12">
        <f>Table1[[#This Row],[LOAD K.M]]+Table1[[#This Row],[EMPTY K.M]]</f>
        <v>0</v>
      </c>
      <c r="Z393" s="12">
        <f>Table1[[#This Row],[INVOICE AMOUNT2]]-Table1[[#This Row],[Total Exp.]]</f>
        <v>0</v>
      </c>
      <c r="AA393" s="12" t="e">
        <f>Table1[[#This Row],[Total Exp.]]/Table1[[#This Row],[Total k.m]]</f>
        <v>#DIV/0!</v>
      </c>
      <c r="AB393" s="12" t="e">
        <f>Table1[[#This Row],[Profit/loss]]/Table1[[#This Row],[Total k.m]]</f>
        <v>#DIV/0!</v>
      </c>
      <c r="AC393" s="12" t="e">
        <f>Table1[[#This Row],[INVOICE AMOUNT2]]/Table1[[#This Row],[Total k.m]]</f>
        <v>#DIV/0!</v>
      </c>
    </row>
    <row r="394" spans="1:29" x14ac:dyDescent="0.3">
      <c r="A394" s="51">
        <v>392</v>
      </c>
      <c r="B394" s="25" t="s">
        <v>791</v>
      </c>
      <c r="C394" s="12"/>
      <c r="D394" s="12"/>
      <c r="E394" s="24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>
        <f t="shared" si="8"/>
        <v>0</v>
      </c>
      <c r="W394" s="12"/>
      <c r="X394" s="12"/>
      <c r="Y394" s="12">
        <f>Table1[[#This Row],[LOAD K.M]]+Table1[[#This Row],[EMPTY K.M]]</f>
        <v>0</v>
      </c>
      <c r="Z394" s="12">
        <f>Table1[[#This Row],[INVOICE AMOUNT2]]-Table1[[#This Row],[Total Exp.]]</f>
        <v>0</v>
      </c>
      <c r="AA394" s="12" t="e">
        <f>Table1[[#This Row],[Total Exp.]]/Table1[[#This Row],[Total k.m]]</f>
        <v>#DIV/0!</v>
      </c>
      <c r="AB394" s="12" t="e">
        <f>Table1[[#This Row],[Profit/loss]]/Table1[[#This Row],[Total k.m]]</f>
        <v>#DIV/0!</v>
      </c>
      <c r="AC394" s="12" t="e">
        <f>Table1[[#This Row],[INVOICE AMOUNT2]]/Table1[[#This Row],[Total k.m]]</f>
        <v>#DIV/0!</v>
      </c>
    </row>
    <row r="395" spans="1:29" x14ac:dyDescent="0.3">
      <c r="A395" s="51">
        <v>393</v>
      </c>
      <c r="B395" s="25" t="s">
        <v>792</v>
      </c>
      <c r="C395" s="12"/>
      <c r="D395" s="12"/>
      <c r="E395" s="24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>
        <f t="shared" si="8"/>
        <v>0</v>
      </c>
      <c r="W395" s="12"/>
      <c r="X395" s="12"/>
      <c r="Y395" s="12">
        <f>Table1[[#This Row],[LOAD K.M]]+Table1[[#This Row],[EMPTY K.M]]</f>
        <v>0</v>
      </c>
      <c r="Z395" s="12">
        <f>Table1[[#This Row],[INVOICE AMOUNT2]]-Table1[[#This Row],[Total Exp.]]</f>
        <v>0</v>
      </c>
      <c r="AA395" s="12" t="e">
        <f>Table1[[#This Row],[Total Exp.]]/Table1[[#This Row],[Total k.m]]</f>
        <v>#DIV/0!</v>
      </c>
      <c r="AB395" s="12" t="e">
        <f>Table1[[#This Row],[Profit/loss]]/Table1[[#This Row],[Total k.m]]</f>
        <v>#DIV/0!</v>
      </c>
      <c r="AC395" s="12" t="e">
        <f>Table1[[#This Row],[INVOICE AMOUNT2]]/Table1[[#This Row],[Total k.m]]</f>
        <v>#DIV/0!</v>
      </c>
    </row>
    <row r="396" spans="1:29" x14ac:dyDescent="0.3">
      <c r="A396" s="51">
        <v>394</v>
      </c>
      <c r="B396" s="25" t="s">
        <v>793</v>
      </c>
      <c r="C396" s="12"/>
      <c r="D396" s="12"/>
      <c r="E396" s="24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>
        <f t="shared" si="8"/>
        <v>0</v>
      </c>
      <c r="W396" s="12"/>
      <c r="X396" s="12"/>
      <c r="Y396" s="12">
        <f>Table1[[#This Row],[LOAD K.M]]+Table1[[#This Row],[EMPTY K.M]]</f>
        <v>0</v>
      </c>
      <c r="Z396" s="12">
        <f>Table1[[#This Row],[INVOICE AMOUNT2]]-Table1[[#This Row],[Total Exp.]]</f>
        <v>0</v>
      </c>
      <c r="AA396" s="12" t="e">
        <f>Table1[[#This Row],[Total Exp.]]/Table1[[#This Row],[Total k.m]]</f>
        <v>#DIV/0!</v>
      </c>
      <c r="AB396" s="12" t="e">
        <f>Table1[[#This Row],[Profit/loss]]/Table1[[#This Row],[Total k.m]]</f>
        <v>#DIV/0!</v>
      </c>
      <c r="AC396" s="12" t="e">
        <f>Table1[[#This Row],[INVOICE AMOUNT2]]/Table1[[#This Row],[Total k.m]]</f>
        <v>#DIV/0!</v>
      </c>
    </row>
    <row r="397" spans="1:29" x14ac:dyDescent="0.3">
      <c r="A397" s="51">
        <v>395</v>
      </c>
      <c r="B397" s="25" t="s">
        <v>794</v>
      </c>
      <c r="C397" s="12"/>
      <c r="D397" s="12"/>
      <c r="E397" s="24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>
        <f t="shared" si="8"/>
        <v>0</v>
      </c>
      <c r="W397" s="12"/>
      <c r="X397" s="12"/>
      <c r="Y397" s="12">
        <f>Table1[[#This Row],[LOAD K.M]]+Table1[[#This Row],[EMPTY K.M]]</f>
        <v>0</v>
      </c>
      <c r="Z397" s="12">
        <f>Table1[[#This Row],[INVOICE AMOUNT2]]-Table1[[#This Row],[Total Exp.]]</f>
        <v>0</v>
      </c>
      <c r="AA397" s="12" t="e">
        <f>Table1[[#This Row],[Total Exp.]]/Table1[[#This Row],[Total k.m]]</f>
        <v>#DIV/0!</v>
      </c>
      <c r="AB397" s="12" t="e">
        <f>Table1[[#This Row],[Profit/loss]]/Table1[[#This Row],[Total k.m]]</f>
        <v>#DIV/0!</v>
      </c>
      <c r="AC397" s="12" t="e">
        <f>Table1[[#This Row],[INVOICE AMOUNT2]]/Table1[[#This Row],[Total k.m]]</f>
        <v>#DIV/0!</v>
      </c>
    </row>
    <row r="398" spans="1:29" x14ac:dyDescent="0.3">
      <c r="A398" s="51">
        <v>396</v>
      </c>
      <c r="B398" s="25" t="s">
        <v>795</v>
      </c>
      <c r="C398" s="12"/>
      <c r="D398" s="12"/>
      <c r="E398" s="24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>
        <f t="shared" si="8"/>
        <v>0</v>
      </c>
      <c r="W398" s="12"/>
      <c r="X398" s="12"/>
      <c r="Y398" s="12">
        <f>Table1[[#This Row],[LOAD K.M]]+Table1[[#This Row],[EMPTY K.M]]</f>
        <v>0</v>
      </c>
      <c r="Z398" s="12">
        <f>Table1[[#This Row],[INVOICE AMOUNT2]]-Table1[[#This Row],[Total Exp.]]</f>
        <v>0</v>
      </c>
      <c r="AA398" s="12" t="e">
        <f>Table1[[#This Row],[Total Exp.]]/Table1[[#This Row],[Total k.m]]</f>
        <v>#DIV/0!</v>
      </c>
      <c r="AB398" s="12" t="e">
        <f>Table1[[#This Row],[Profit/loss]]/Table1[[#This Row],[Total k.m]]</f>
        <v>#DIV/0!</v>
      </c>
      <c r="AC398" s="12" t="e">
        <f>Table1[[#This Row],[INVOICE AMOUNT2]]/Table1[[#This Row],[Total k.m]]</f>
        <v>#DIV/0!</v>
      </c>
    </row>
    <row r="399" spans="1:29" x14ac:dyDescent="0.3">
      <c r="A399" s="51">
        <v>397</v>
      </c>
      <c r="B399" s="25" t="s">
        <v>796</v>
      </c>
      <c r="C399" s="53"/>
      <c r="D399" s="53"/>
      <c r="E399" s="62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>
        <f t="shared" si="8"/>
        <v>0</v>
      </c>
      <c r="W399" s="53"/>
      <c r="X399" s="53"/>
      <c r="Y399" s="53">
        <f>Table1[[#This Row],[LOAD K.M]]+Table1[[#This Row],[EMPTY K.M]]</f>
        <v>0</v>
      </c>
      <c r="Z399" s="53">
        <f>Table1[[#This Row],[INVOICE AMOUNT2]]-Table1[[#This Row],[Total Exp.]]</f>
        <v>0</v>
      </c>
      <c r="AA399" s="53" t="e">
        <f>Table1[[#This Row],[Total Exp.]]/Table1[[#This Row],[Total k.m]]</f>
        <v>#DIV/0!</v>
      </c>
      <c r="AB399" s="53" t="e">
        <f>Table1[[#This Row],[Profit/loss]]/Table1[[#This Row],[Total k.m]]</f>
        <v>#DIV/0!</v>
      </c>
      <c r="AC399" s="53" t="e">
        <f>Table1[[#This Row],[INVOICE AMOUNT2]]/Table1[[#This Row],[Total k.m]]</f>
        <v>#DIV/0!</v>
      </c>
    </row>
  </sheetData>
  <phoneticPr fontId="18" type="noConversion"/>
  <pageMargins left="0.7" right="0.7" top="0.75" bottom="0.75" header="0.3" footer="0.3"/>
  <pageSetup paperSize="9" scale="31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BB27-0034-4E76-9EAE-B13116D13799}">
  <sheetPr>
    <pageSetUpPr fitToPage="1"/>
  </sheetPr>
  <dimension ref="B4:O69"/>
  <sheetViews>
    <sheetView topLeftCell="C4" workbookViewId="0">
      <selection activeCell="C4" sqref="C4:O4"/>
    </sheetView>
  </sheetViews>
  <sheetFormatPr defaultColWidth="8.88671875" defaultRowHeight="14.4" x14ac:dyDescent="0.3"/>
  <cols>
    <col min="1" max="1" width="8.88671875" style="6"/>
    <col min="2" max="2" width="17.5546875" style="6" bestFit="1" customWidth="1"/>
    <col min="3" max="3" width="14.33203125" style="6" bestFit="1" customWidth="1"/>
    <col min="4" max="4" width="7.6640625" style="6" bestFit="1" customWidth="1"/>
    <col min="5" max="5" width="13.109375" style="6" bestFit="1" customWidth="1"/>
    <col min="6" max="6" width="12.33203125" style="6" bestFit="1" customWidth="1"/>
    <col min="7" max="7" width="8.6640625" style="6" bestFit="1" customWidth="1"/>
    <col min="8" max="8" width="34.6640625" style="6" bestFit="1" customWidth="1"/>
    <col min="9" max="9" width="23.6640625" style="6" bestFit="1" customWidth="1"/>
    <col min="10" max="10" width="10.33203125" style="6" bestFit="1" customWidth="1"/>
    <col min="11" max="11" width="10.33203125" style="6" customWidth="1"/>
    <col min="12" max="12" width="18" style="6" bestFit="1" customWidth="1"/>
    <col min="13" max="13" width="6.6640625" style="6" bestFit="1" customWidth="1"/>
    <col min="14" max="14" width="13.6640625" style="6" bestFit="1" customWidth="1"/>
    <col min="15" max="15" width="17.5546875" style="6" bestFit="1" customWidth="1"/>
    <col min="16" max="16384" width="8.88671875" style="6"/>
  </cols>
  <sheetData>
    <row r="4" spans="2:15" ht="15.6" x14ac:dyDescent="0.3">
      <c r="B4" s="1" t="s">
        <v>664</v>
      </c>
      <c r="C4" s="1" t="s">
        <v>2</v>
      </c>
      <c r="D4" s="1" t="s">
        <v>3</v>
      </c>
      <c r="E4" s="64" t="s">
        <v>4</v>
      </c>
      <c r="F4" s="1" t="s">
        <v>5</v>
      </c>
      <c r="G4" s="1" t="s">
        <v>6</v>
      </c>
      <c r="H4" s="1" t="s">
        <v>7</v>
      </c>
      <c r="I4" s="1" t="s">
        <v>576</v>
      </c>
      <c r="J4" s="1" t="s">
        <v>577</v>
      </c>
      <c r="K4" s="1"/>
      <c r="L4" s="1" t="s">
        <v>578</v>
      </c>
      <c r="M4" s="1" t="s">
        <v>579</v>
      </c>
      <c r="N4" s="1" t="s">
        <v>580</v>
      </c>
      <c r="O4" s="1" t="s">
        <v>581</v>
      </c>
    </row>
    <row r="5" spans="2:15" x14ac:dyDescent="0.3">
      <c r="B5" s="12" t="s">
        <v>661</v>
      </c>
      <c r="C5" s="12" t="s">
        <v>582</v>
      </c>
      <c r="D5" s="65" t="s">
        <v>666</v>
      </c>
      <c r="E5" s="12" t="s">
        <v>583</v>
      </c>
      <c r="F5" s="12" t="s">
        <v>35</v>
      </c>
      <c r="G5" s="12" t="s">
        <v>36</v>
      </c>
      <c r="H5" s="12" t="s">
        <v>584</v>
      </c>
      <c r="I5" s="12"/>
      <c r="J5" s="12">
        <v>1500</v>
      </c>
      <c r="K5" s="12"/>
      <c r="L5" s="12">
        <f>J5*45</f>
        <v>67500</v>
      </c>
      <c r="M5" s="12">
        <v>31500</v>
      </c>
      <c r="N5" s="12">
        <v>36000</v>
      </c>
      <c r="O5" s="12">
        <f>L5-M5-N5</f>
        <v>0</v>
      </c>
    </row>
    <row r="6" spans="2:15" x14ac:dyDescent="0.3">
      <c r="B6" s="12" t="s">
        <v>661</v>
      </c>
      <c r="C6" s="13" t="s">
        <v>585</v>
      </c>
      <c r="D6" s="65" t="s">
        <v>666</v>
      </c>
      <c r="E6" s="13" t="s">
        <v>583</v>
      </c>
      <c r="F6" s="13" t="s">
        <v>35</v>
      </c>
      <c r="G6" s="13" t="s">
        <v>36</v>
      </c>
      <c r="H6" s="13" t="s">
        <v>586</v>
      </c>
      <c r="I6" s="13"/>
      <c r="J6" s="13">
        <v>3300</v>
      </c>
      <c r="K6" s="13"/>
      <c r="L6" s="13">
        <f>J6*45</f>
        <v>148500</v>
      </c>
      <c r="M6" s="13">
        <v>31500</v>
      </c>
      <c r="N6" s="13">
        <v>117000</v>
      </c>
      <c r="O6" s="13">
        <f>L6-M6-N6</f>
        <v>0</v>
      </c>
    </row>
    <row r="7" spans="2:15" x14ac:dyDescent="0.3">
      <c r="B7" s="12" t="s">
        <v>661</v>
      </c>
      <c r="C7" s="12" t="s">
        <v>587</v>
      </c>
      <c r="D7" s="65">
        <v>45986</v>
      </c>
      <c r="E7" s="12" t="s">
        <v>421</v>
      </c>
      <c r="F7" s="12" t="s">
        <v>65</v>
      </c>
      <c r="G7" s="12" t="s">
        <v>66</v>
      </c>
      <c r="H7" s="12" t="s">
        <v>36</v>
      </c>
      <c r="I7" s="12"/>
      <c r="J7" s="12">
        <v>1300</v>
      </c>
      <c r="K7" s="12"/>
      <c r="L7" s="12">
        <v>58500</v>
      </c>
      <c r="M7" s="12"/>
      <c r="N7" s="12">
        <v>58500</v>
      </c>
      <c r="O7" s="12">
        <f t="shared" ref="O7:O21" si="0">L7-M7-N7</f>
        <v>0</v>
      </c>
    </row>
    <row r="8" spans="2:15" x14ac:dyDescent="0.3">
      <c r="B8" s="12" t="s">
        <v>600</v>
      </c>
      <c r="C8" s="12" t="s">
        <v>588</v>
      </c>
      <c r="D8" s="65" t="s">
        <v>666</v>
      </c>
      <c r="E8" s="12" t="s">
        <v>492</v>
      </c>
      <c r="F8" s="12" t="s">
        <v>35</v>
      </c>
      <c r="G8" s="12" t="s">
        <v>36</v>
      </c>
      <c r="H8" s="12" t="s">
        <v>70</v>
      </c>
      <c r="I8" s="12"/>
      <c r="J8" s="12">
        <v>1730</v>
      </c>
      <c r="K8" s="12"/>
      <c r="L8" s="12">
        <f t="shared" ref="L8:L12" si="1">J8*45</f>
        <v>77850</v>
      </c>
      <c r="M8" s="12">
        <v>31682</v>
      </c>
      <c r="N8" s="12">
        <v>46168</v>
      </c>
      <c r="O8" s="12">
        <f t="shared" si="0"/>
        <v>0</v>
      </c>
    </row>
    <row r="9" spans="2:15" x14ac:dyDescent="0.3">
      <c r="B9" s="12" t="s">
        <v>600</v>
      </c>
      <c r="C9" s="12" t="s">
        <v>589</v>
      </c>
      <c r="D9" s="65" t="s">
        <v>666</v>
      </c>
      <c r="E9" s="12" t="s">
        <v>492</v>
      </c>
      <c r="F9" s="12" t="s">
        <v>35</v>
      </c>
      <c r="G9" s="12" t="s">
        <v>36</v>
      </c>
      <c r="H9" s="12" t="s">
        <v>590</v>
      </c>
      <c r="I9" s="12"/>
      <c r="J9" s="12">
        <v>1200</v>
      </c>
      <c r="K9" s="12"/>
      <c r="L9" s="12">
        <f t="shared" si="1"/>
        <v>54000</v>
      </c>
      <c r="M9" s="12">
        <v>31682</v>
      </c>
      <c r="N9" s="12">
        <v>22318</v>
      </c>
      <c r="O9" s="12">
        <f t="shared" si="0"/>
        <v>0</v>
      </c>
    </row>
    <row r="10" spans="2:15" x14ac:dyDescent="0.3">
      <c r="B10" s="12" t="s">
        <v>600</v>
      </c>
      <c r="C10" s="12" t="s">
        <v>591</v>
      </c>
      <c r="D10" s="65" t="s">
        <v>666</v>
      </c>
      <c r="E10" s="12" t="s">
        <v>492</v>
      </c>
      <c r="F10" s="12" t="s">
        <v>35</v>
      </c>
      <c r="G10" s="12" t="s">
        <v>36</v>
      </c>
      <c r="H10" s="12" t="s">
        <v>364</v>
      </c>
      <c r="I10" s="12"/>
      <c r="J10" s="12">
        <v>2800</v>
      </c>
      <c r="K10" s="12"/>
      <c r="L10" s="12">
        <f t="shared" si="1"/>
        <v>126000</v>
      </c>
      <c r="M10" s="12">
        <v>31682</v>
      </c>
      <c r="N10" s="12">
        <v>94318</v>
      </c>
      <c r="O10" s="12">
        <f t="shared" si="0"/>
        <v>0</v>
      </c>
    </row>
    <row r="11" spans="2:15" x14ac:dyDescent="0.3">
      <c r="B11" s="12" t="s">
        <v>661</v>
      </c>
      <c r="C11" s="12" t="s">
        <v>592</v>
      </c>
      <c r="D11" s="65" t="s">
        <v>666</v>
      </c>
      <c r="E11" s="12" t="s">
        <v>492</v>
      </c>
      <c r="F11" s="12" t="s">
        <v>35</v>
      </c>
      <c r="G11" s="12" t="s">
        <v>36</v>
      </c>
      <c r="H11" s="12" t="s">
        <v>593</v>
      </c>
      <c r="I11" s="12"/>
      <c r="J11" s="12">
        <v>2250</v>
      </c>
      <c r="K11" s="12"/>
      <c r="L11" s="12">
        <f t="shared" si="1"/>
        <v>101250</v>
      </c>
      <c r="M11" s="12">
        <v>31500</v>
      </c>
      <c r="N11" s="12">
        <v>69750</v>
      </c>
      <c r="O11" s="12">
        <f t="shared" si="0"/>
        <v>0</v>
      </c>
    </row>
    <row r="12" spans="2:15" x14ac:dyDescent="0.3">
      <c r="B12" s="12" t="s">
        <v>661</v>
      </c>
      <c r="C12" s="12" t="s">
        <v>594</v>
      </c>
      <c r="D12" s="65">
        <v>45986</v>
      </c>
      <c r="E12" s="12" t="s">
        <v>431</v>
      </c>
      <c r="F12" s="12" t="s">
        <v>65</v>
      </c>
      <c r="G12" s="12" t="s">
        <v>66</v>
      </c>
      <c r="H12" s="12" t="s">
        <v>36</v>
      </c>
      <c r="I12" s="12"/>
      <c r="J12" s="12">
        <v>1300</v>
      </c>
      <c r="K12" s="12"/>
      <c r="L12" s="12">
        <f t="shared" si="1"/>
        <v>58500</v>
      </c>
      <c r="M12" s="12"/>
      <c r="N12" s="12">
        <v>58500</v>
      </c>
      <c r="O12" s="12">
        <f t="shared" si="0"/>
        <v>0</v>
      </c>
    </row>
    <row r="13" spans="2:15" x14ac:dyDescent="0.3">
      <c r="B13" s="12" t="s">
        <v>661</v>
      </c>
      <c r="C13" s="12" t="s">
        <v>595</v>
      </c>
      <c r="D13" s="65" t="s">
        <v>666</v>
      </c>
      <c r="E13" s="12" t="s">
        <v>433</v>
      </c>
      <c r="F13" s="12" t="s">
        <v>35</v>
      </c>
      <c r="G13" s="12" t="s">
        <v>36</v>
      </c>
      <c r="H13" s="12" t="s">
        <v>85</v>
      </c>
      <c r="I13" s="12" t="s">
        <v>596</v>
      </c>
      <c r="J13" s="12">
        <v>1200</v>
      </c>
      <c r="K13" s="12"/>
      <c r="L13" s="12">
        <v>54000</v>
      </c>
      <c r="M13" s="12">
        <v>31500</v>
      </c>
      <c r="N13" s="12">
        <v>22500</v>
      </c>
      <c r="O13" s="12">
        <f t="shared" si="0"/>
        <v>0</v>
      </c>
    </row>
    <row r="14" spans="2:15" x14ac:dyDescent="0.3">
      <c r="B14" s="12" t="s">
        <v>661</v>
      </c>
      <c r="C14" s="12" t="s">
        <v>582</v>
      </c>
      <c r="D14" s="65" t="s">
        <v>666</v>
      </c>
      <c r="E14" s="12" t="s">
        <v>444</v>
      </c>
      <c r="F14" s="12" t="s">
        <v>35</v>
      </c>
      <c r="G14" s="12" t="s">
        <v>36</v>
      </c>
      <c r="H14" s="12" t="s">
        <v>597</v>
      </c>
      <c r="I14" s="12" t="s">
        <v>598</v>
      </c>
      <c r="J14" s="12">
        <v>1700</v>
      </c>
      <c r="K14" s="12"/>
      <c r="L14" s="12">
        <f>1700*45</f>
        <v>76500</v>
      </c>
      <c r="M14" s="12">
        <v>31250</v>
      </c>
      <c r="N14" s="12">
        <v>45000</v>
      </c>
      <c r="O14" s="12">
        <f t="shared" si="0"/>
        <v>250</v>
      </c>
    </row>
    <row r="15" spans="2:15" x14ac:dyDescent="0.3">
      <c r="B15" s="12" t="s">
        <v>661</v>
      </c>
      <c r="C15" s="12" t="s">
        <v>592</v>
      </c>
      <c r="D15" s="65" t="s">
        <v>666</v>
      </c>
      <c r="E15" s="12" t="s">
        <v>444</v>
      </c>
      <c r="F15" s="12" t="s">
        <v>35</v>
      </c>
      <c r="G15" s="12" t="s">
        <v>36</v>
      </c>
      <c r="H15" s="12" t="s">
        <v>599</v>
      </c>
      <c r="I15" s="12"/>
      <c r="J15" s="12">
        <v>1500</v>
      </c>
      <c r="K15" s="12"/>
      <c r="L15" s="12">
        <v>101250</v>
      </c>
      <c r="M15" s="12">
        <v>31500</v>
      </c>
      <c r="N15" s="12">
        <v>69750</v>
      </c>
      <c r="O15" s="12">
        <f t="shared" si="0"/>
        <v>0</v>
      </c>
    </row>
    <row r="16" spans="2:15" x14ac:dyDescent="0.3">
      <c r="B16" s="12" t="s">
        <v>600</v>
      </c>
      <c r="C16" s="12" t="s">
        <v>601</v>
      </c>
      <c r="D16" s="65" t="s">
        <v>666</v>
      </c>
      <c r="E16" s="12" t="s">
        <v>451</v>
      </c>
      <c r="F16" s="12" t="s">
        <v>35</v>
      </c>
      <c r="G16" s="12" t="s">
        <v>36</v>
      </c>
      <c r="H16" s="12" t="s">
        <v>85</v>
      </c>
      <c r="I16" s="12" t="s">
        <v>602</v>
      </c>
      <c r="J16" s="12">
        <v>1200</v>
      </c>
      <c r="K16" s="12"/>
      <c r="L16" s="12">
        <v>54000</v>
      </c>
      <c r="M16" s="12">
        <v>31682</v>
      </c>
      <c r="N16" s="12">
        <v>22318</v>
      </c>
      <c r="O16" s="12">
        <f t="shared" si="0"/>
        <v>0</v>
      </c>
    </row>
    <row r="17" spans="2:15" x14ac:dyDescent="0.3">
      <c r="B17" s="12" t="s">
        <v>600</v>
      </c>
      <c r="C17" s="12" t="s">
        <v>588</v>
      </c>
      <c r="D17" s="65">
        <v>45986</v>
      </c>
      <c r="E17" s="12" t="s">
        <v>455</v>
      </c>
      <c r="F17" s="12" t="s">
        <v>65</v>
      </c>
      <c r="G17" s="12" t="s">
        <v>66</v>
      </c>
      <c r="H17" s="12" t="s">
        <v>36</v>
      </c>
      <c r="I17" s="12"/>
      <c r="J17" s="12">
        <v>1300</v>
      </c>
      <c r="K17" s="12"/>
      <c r="L17" s="12">
        <v>58500</v>
      </c>
      <c r="M17" s="12"/>
      <c r="N17" s="12">
        <v>58500</v>
      </c>
      <c r="O17" s="12">
        <f t="shared" si="0"/>
        <v>0</v>
      </c>
    </row>
    <row r="18" spans="2:15" x14ac:dyDescent="0.3">
      <c r="B18" s="12" t="s">
        <v>600</v>
      </c>
      <c r="C18" s="12" t="s">
        <v>591</v>
      </c>
      <c r="D18" s="65">
        <v>45986</v>
      </c>
      <c r="E18" s="12" t="s">
        <v>455</v>
      </c>
      <c r="F18" s="12" t="s">
        <v>65</v>
      </c>
      <c r="G18" s="12" t="s">
        <v>66</v>
      </c>
      <c r="H18" s="12" t="s">
        <v>36</v>
      </c>
      <c r="I18" s="12"/>
      <c r="J18" s="12">
        <v>1300</v>
      </c>
      <c r="K18" s="12"/>
      <c r="L18" s="12">
        <v>58500</v>
      </c>
      <c r="M18" s="12"/>
      <c r="N18" s="12">
        <v>58500</v>
      </c>
      <c r="O18" s="12">
        <f t="shared" si="0"/>
        <v>0</v>
      </c>
    </row>
    <row r="19" spans="2:15" x14ac:dyDescent="0.3">
      <c r="B19" s="12" t="s">
        <v>665</v>
      </c>
      <c r="C19" s="12" t="s">
        <v>603</v>
      </c>
      <c r="D19" s="65" t="s">
        <v>666</v>
      </c>
      <c r="E19" s="12" t="s">
        <v>455</v>
      </c>
      <c r="F19" s="12" t="s">
        <v>35</v>
      </c>
      <c r="G19" s="12" t="s">
        <v>36</v>
      </c>
      <c r="H19" s="12" t="s">
        <v>417</v>
      </c>
      <c r="I19" s="12" t="s">
        <v>604</v>
      </c>
      <c r="J19" s="12">
        <v>3200</v>
      </c>
      <c r="K19" s="12"/>
      <c r="L19" s="12">
        <f>3200*45</f>
        <v>144000</v>
      </c>
      <c r="M19" s="12">
        <v>31500</v>
      </c>
      <c r="N19" s="12">
        <v>112500</v>
      </c>
      <c r="O19" s="12">
        <f t="shared" si="0"/>
        <v>0</v>
      </c>
    </row>
    <row r="20" spans="2:15" x14ac:dyDescent="0.3">
      <c r="B20" s="12" t="s">
        <v>661</v>
      </c>
      <c r="C20" s="12" t="s">
        <v>594</v>
      </c>
      <c r="D20" s="65" t="s">
        <v>666</v>
      </c>
      <c r="E20" s="12" t="s">
        <v>462</v>
      </c>
      <c r="F20" s="12" t="s">
        <v>35</v>
      </c>
      <c r="G20" s="12" t="s">
        <v>36</v>
      </c>
      <c r="H20" s="12" t="s">
        <v>605</v>
      </c>
      <c r="I20" s="12" t="s">
        <v>606</v>
      </c>
      <c r="J20" s="12">
        <v>2900</v>
      </c>
      <c r="K20" s="12"/>
      <c r="L20" s="12">
        <f>2900*45</f>
        <v>130500</v>
      </c>
      <c r="M20" s="12">
        <v>31500</v>
      </c>
      <c r="N20" s="12">
        <v>99000</v>
      </c>
      <c r="O20" s="12">
        <f t="shared" si="0"/>
        <v>0</v>
      </c>
    </row>
    <row r="21" spans="2:15" x14ac:dyDescent="0.3">
      <c r="B21" s="12" t="s">
        <v>661</v>
      </c>
      <c r="C21" s="12" t="s">
        <v>592</v>
      </c>
      <c r="D21" s="65">
        <v>45986</v>
      </c>
      <c r="E21" s="12" t="s">
        <v>462</v>
      </c>
      <c r="F21" s="12" t="s">
        <v>65</v>
      </c>
      <c r="G21" s="12" t="s">
        <v>66</v>
      </c>
      <c r="H21" s="12" t="s">
        <v>36</v>
      </c>
      <c r="I21" s="12"/>
      <c r="J21" s="12">
        <v>1300</v>
      </c>
      <c r="K21" s="12"/>
      <c r="L21" s="12">
        <f>1300*45</f>
        <v>58500</v>
      </c>
      <c r="M21" s="12"/>
      <c r="N21" s="12">
        <v>58500</v>
      </c>
      <c r="O21" s="12">
        <f t="shared" si="0"/>
        <v>0</v>
      </c>
    </row>
    <row r="22" spans="2:15" x14ac:dyDescent="0.3">
      <c r="B22" s="12" t="s">
        <v>661</v>
      </c>
      <c r="C22" s="12" t="s">
        <v>582</v>
      </c>
      <c r="D22" s="65">
        <v>45986</v>
      </c>
      <c r="E22" s="12" t="s">
        <v>468</v>
      </c>
      <c r="F22" s="12" t="s">
        <v>65</v>
      </c>
      <c r="G22" s="12" t="s">
        <v>66</v>
      </c>
      <c r="H22" s="12" t="s">
        <v>36</v>
      </c>
      <c r="I22" s="12"/>
      <c r="J22" s="12">
        <v>1300</v>
      </c>
      <c r="K22" s="12"/>
      <c r="L22" s="12">
        <v>58500</v>
      </c>
      <c r="M22" s="12"/>
      <c r="N22" s="12">
        <v>58500</v>
      </c>
      <c r="O22" s="12">
        <v>0</v>
      </c>
    </row>
    <row r="23" spans="2:15" x14ac:dyDescent="0.3">
      <c r="B23" s="12" t="s">
        <v>661</v>
      </c>
      <c r="C23" s="12" t="s">
        <v>587</v>
      </c>
      <c r="D23" s="65" t="s">
        <v>666</v>
      </c>
      <c r="E23" s="12" t="s">
        <v>473</v>
      </c>
      <c r="F23" s="12" t="s">
        <v>35</v>
      </c>
      <c r="G23" s="12" t="s">
        <v>36</v>
      </c>
      <c r="H23" s="12" t="s">
        <v>607</v>
      </c>
      <c r="I23" s="12" t="s">
        <v>608</v>
      </c>
      <c r="J23" s="12">
        <v>1200</v>
      </c>
      <c r="K23" s="12"/>
      <c r="L23" s="12">
        <v>54000</v>
      </c>
      <c r="M23" s="12">
        <v>31500</v>
      </c>
      <c r="N23" s="12">
        <v>22500</v>
      </c>
      <c r="O23" s="12">
        <v>0</v>
      </c>
    </row>
    <row r="24" spans="2:15" x14ac:dyDescent="0.3">
      <c r="B24" s="12" t="s">
        <v>600</v>
      </c>
      <c r="C24" s="12" t="s">
        <v>609</v>
      </c>
      <c r="D24" s="65" t="s">
        <v>666</v>
      </c>
      <c r="E24" s="12" t="s">
        <v>473</v>
      </c>
      <c r="F24" s="12" t="s">
        <v>35</v>
      </c>
      <c r="G24" s="12" t="s">
        <v>36</v>
      </c>
      <c r="H24" s="12" t="s">
        <v>607</v>
      </c>
      <c r="I24" s="12" t="s">
        <v>610</v>
      </c>
      <c r="J24" s="12">
        <v>1200</v>
      </c>
      <c r="K24" s="12"/>
      <c r="L24" s="12">
        <v>54000</v>
      </c>
      <c r="M24" s="12">
        <v>31682</v>
      </c>
      <c r="N24" s="12">
        <v>22318</v>
      </c>
      <c r="O24" s="12">
        <f>L24-M24-N24</f>
        <v>0</v>
      </c>
    </row>
    <row r="25" spans="2:15" x14ac:dyDescent="0.3">
      <c r="B25" s="12" t="s">
        <v>661</v>
      </c>
      <c r="C25" s="12" t="s">
        <v>585</v>
      </c>
      <c r="D25" s="65" t="s">
        <v>666</v>
      </c>
      <c r="E25" s="12" t="s">
        <v>475</v>
      </c>
      <c r="F25" s="12" t="s">
        <v>35</v>
      </c>
      <c r="G25" s="12" t="s">
        <v>36</v>
      </c>
      <c r="H25" s="12" t="s">
        <v>611</v>
      </c>
      <c r="I25" s="12" t="s">
        <v>612</v>
      </c>
      <c r="J25" s="12">
        <v>2200</v>
      </c>
      <c r="K25" s="12"/>
      <c r="L25" s="12">
        <f>2200*45</f>
        <v>99000</v>
      </c>
      <c r="M25" s="12">
        <v>31500</v>
      </c>
      <c r="N25" s="12">
        <v>67500</v>
      </c>
      <c r="O25" s="12">
        <f t="shared" ref="O25:O37" si="2">L25-M25-N25</f>
        <v>0</v>
      </c>
    </row>
    <row r="26" spans="2:15" x14ac:dyDescent="0.3">
      <c r="B26" s="12" t="s">
        <v>661</v>
      </c>
      <c r="C26" s="12" t="s">
        <v>595</v>
      </c>
      <c r="D26" s="65">
        <v>45986</v>
      </c>
      <c r="E26" s="12" t="s">
        <v>475</v>
      </c>
      <c r="F26" s="12" t="s">
        <v>178</v>
      </c>
      <c r="G26" s="12" t="s">
        <v>36</v>
      </c>
      <c r="H26" s="12" t="s">
        <v>323</v>
      </c>
      <c r="I26" s="12"/>
      <c r="J26" s="12">
        <v>1700</v>
      </c>
      <c r="K26" s="12"/>
      <c r="L26" s="12">
        <f>J26*45</f>
        <v>76500</v>
      </c>
      <c r="M26" s="12">
        <v>31500</v>
      </c>
      <c r="N26" s="12">
        <v>45000</v>
      </c>
      <c r="O26" s="12">
        <f t="shared" si="2"/>
        <v>0</v>
      </c>
    </row>
    <row r="27" spans="2:15" x14ac:dyDescent="0.3">
      <c r="B27" s="12" t="s">
        <v>600</v>
      </c>
      <c r="C27" s="12" t="s">
        <v>591</v>
      </c>
      <c r="D27" s="65" t="s">
        <v>666</v>
      </c>
      <c r="E27" s="12" t="s">
        <v>613</v>
      </c>
      <c r="F27" s="12" t="s">
        <v>35</v>
      </c>
      <c r="G27" s="12" t="s">
        <v>36</v>
      </c>
      <c r="H27" s="12" t="s">
        <v>85</v>
      </c>
      <c r="I27" s="12" t="s">
        <v>614</v>
      </c>
      <c r="J27" s="12">
        <v>1200</v>
      </c>
      <c r="K27" s="12"/>
      <c r="L27" s="12">
        <f>1200*45</f>
        <v>54000</v>
      </c>
      <c r="M27" s="12">
        <v>31682</v>
      </c>
      <c r="N27" s="12">
        <v>22318</v>
      </c>
      <c r="O27" s="12">
        <f t="shared" si="2"/>
        <v>0</v>
      </c>
    </row>
    <row r="28" spans="2:15" x14ac:dyDescent="0.3">
      <c r="B28" s="12" t="s">
        <v>600</v>
      </c>
      <c r="C28" s="12" t="s">
        <v>588</v>
      </c>
      <c r="D28" s="65" t="s">
        <v>666</v>
      </c>
      <c r="E28" s="12" t="s">
        <v>613</v>
      </c>
      <c r="F28" s="12" t="s">
        <v>35</v>
      </c>
      <c r="G28" s="12" t="s">
        <v>36</v>
      </c>
      <c r="H28" s="12" t="s">
        <v>364</v>
      </c>
      <c r="I28" s="12" t="s">
        <v>615</v>
      </c>
      <c r="J28" s="12">
        <v>2850</v>
      </c>
      <c r="K28" s="12"/>
      <c r="L28" s="12">
        <f>J28*45</f>
        <v>128250</v>
      </c>
      <c r="M28" s="12">
        <v>31682</v>
      </c>
      <c r="N28" s="12">
        <v>96568</v>
      </c>
      <c r="O28" s="12">
        <f t="shared" si="2"/>
        <v>0</v>
      </c>
    </row>
    <row r="29" spans="2:15" x14ac:dyDescent="0.3">
      <c r="B29" s="12" t="s">
        <v>661</v>
      </c>
      <c r="C29" s="12" t="s">
        <v>582</v>
      </c>
      <c r="D29" s="65" t="s">
        <v>666</v>
      </c>
      <c r="E29" s="12" t="s">
        <v>501</v>
      </c>
      <c r="F29" s="12" t="s">
        <v>35</v>
      </c>
      <c r="G29" s="12" t="s">
        <v>36</v>
      </c>
      <c r="H29" s="12" t="s">
        <v>326</v>
      </c>
      <c r="I29" s="12">
        <v>17474</v>
      </c>
      <c r="J29" s="12">
        <v>1200</v>
      </c>
      <c r="K29" s="12"/>
      <c r="L29" s="12">
        <f>1200*45</f>
        <v>54000</v>
      </c>
      <c r="M29" s="12">
        <v>27000</v>
      </c>
      <c r="N29" s="12">
        <v>0</v>
      </c>
      <c r="O29" s="12">
        <f t="shared" si="2"/>
        <v>27000</v>
      </c>
    </row>
    <row r="30" spans="2:15" x14ac:dyDescent="0.3">
      <c r="B30" s="12" t="s">
        <v>661</v>
      </c>
      <c r="C30" s="12" t="s">
        <v>592</v>
      </c>
      <c r="D30" s="65" t="s">
        <v>666</v>
      </c>
      <c r="E30" s="12" t="s">
        <v>506</v>
      </c>
      <c r="F30" s="12" t="s">
        <v>35</v>
      </c>
      <c r="G30" s="12" t="s">
        <v>36</v>
      </c>
      <c r="H30" s="12" t="s">
        <v>326</v>
      </c>
      <c r="I30" s="12" t="s">
        <v>616</v>
      </c>
      <c r="J30" s="12">
        <v>1100</v>
      </c>
      <c r="K30" s="12"/>
      <c r="L30" s="12">
        <f>1100*45</f>
        <v>49500</v>
      </c>
      <c r="M30" s="12">
        <v>27000</v>
      </c>
      <c r="N30" s="12">
        <v>0</v>
      </c>
      <c r="O30" s="12">
        <f t="shared" si="2"/>
        <v>22500</v>
      </c>
    </row>
    <row r="31" spans="2:15" x14ac:dyDescent="0.3">
      <c r="B31" s="12" t="s">
        <v>661</v>
      </c>
      <c r="C31" s="12" t="s">
        <v>594</v>
      </c>
      <c r="D31" s="65">
        <v>45986</v>
      </c>
      <c r="E31" s="12" t="s">
        <v>508</v>
      </c>
      <c r="F31" s="12" t="s">
        <v>65</v>
      </c>
      <c r="G31" s="12" t="s">
        <v>66</v>
      </c>
      <c r="H31" s="12" t="s">
        <v>36</v>
      </c>
      <c r="I31" s="12"/>
      <c r="J31" s="12">
        <v>1300</v>
      </c>
      <c r="K31" s="12"/>
      <c r="L31" s="12">
        <f>1300*45</f>
        <v>58500</v>
      </c>
      <c r="M31" s="12"/>
      <c r="N31" s="12">
        <v>58000</v>
      </c>
      <c r="O31" s="12">
        <f t="shared" si="2"/>
        <v>500</v>
      </c>
    </row>
    <row r="32" spans="2:15" x14ac:dyDescent="0.3">
      <c r="B32" s="12" t="s">
        <v>600</v>
      </c>
      <c r="C32" s="12" t="s">
        <v>601</v>
      </c>
      <c r="D32" s="65" t="s">
        <v>666</v>
      </c>
      <c r="E32" s="12" t="s">
        <v>508</v>
      </c>
      <c r="F32" s="12" t="s">
        <v>35</v>
      </c>
      <c r="G32" s="12" t="s">
        <v>36</v>
      </c>
      <c r="H32" s="12" t="s">
        <v>85</v>
      </c>
      <c r="I32" s="12">
        <v>17482</v>
      </c>
      <c r="J32" s="12">
        <v>1200</v>
      </c>
      <c r="K32" s="12"/>
      <c r="L32" s="12">
        <f>1200*45</f>
        <v>54000</v>
      </c>
      <c r="M32" s="12">
        <v>31682</v>
      </c>
      <c r="N32" s="12">
        <v>22318</v>
      </c>
      <c r="O32" s="12">
        <f t="shared" si="2"/>
        <v>0</v>
      </c>
    </row>
    <row r="33" spans="2:15" x14ac:dyDescent="0.3">
      <c r="B33" s="12" t="s">
        <v>661</v>
      </c>
      <c r="C33" s="12" t="s">
        <v>617</v>
      </c>
      <c r="D33" s="65" t="s">
        <v>666</v>
      </c>
      <c r="E33" s="12" t="s">
        <v>508</v>
      </c>
      <c r="F33" s="12" t="s">
        <v>35</v>
      </c>
      <c r="G33" s="12" t="s">
        <v>36</v>
      </c>
      <c r="H33" s="12" t="s">
        <v>85</v>
      </c>
      <c r="I33" s="12"/>
      <c r="J33" s="12">
        <v>1200</v>
      </c>
      <c r="K33" s="12"/>
      <c r="L33" s="12">
        <v>54000</v>
      </c>
      <c r="M33" s="12">
        <v>20250</v>
      </c>
      <c r="N33" s="12">
        <v>33000</v>
      </c>
      <c r="O33" s="12">
        <f t="shared" si="2"/>
        <v>750</v>
      </c>
    </row>
    <row r="34" spans="2:15" x14ac:dyDescent="0.3">
      <c r="B34" s="12" t="s">
        <v>600</v>
      </c>
      <c r="C34" s="12" t="s">
        <v>591</v>
      </c>
      <c r="D34" s="65" t="s">
        <v>666</v>
      </c>
      <c r="E34" s="12" t="s">
        <v>508</v>
      </c>
      <c r="F34" s="12" t="s">
        <v>35</v>
      </c>
      <c r="G34" s="12" t="s">
        <v>36</v>
      </c>
      <c r="H34" s="12" t="s">
        <v>85</v>
      </c>
      <c r="I34" s="12">
        <v>17386</v>
      </c>
      <c r="J34" s="12">
        <v>1200</v>
      </c>
      <c r="K34" s="12"/>
      <c r="L34" s="12">
        <v>54000</v>
      </c>
      <c r="M34" s="12">
        <v>23799</v>
      </c>
      <c r="N34" s="12">
        <v>30201</v>
      </c>
      <c r="O34" s="12">
        <f t="shared" si="2"/>
        <v>0</v>
      </c>
    </row>
    <row r="35" spans="2:15" x14ac:dyDescent="0.3">
      <c r="B35" s="12" t="s">
        <v>600</v>
      </c>
      <c r="C35" s="12" t="s">
        <v>618</v>
      </c>
      <c r="D35" s="65">
        <v>45986</v>
      </c>
      <c r="E35" s="12" t="s">
        <v>508</v>
      </c>
      <c r="F35" s="12" t="s">
        <v>65</v>
      </c>
      <c r="G35" s="12" t="s">
        <v>66</v>
      </c>
      <c r="H35" s="12" t="s">
        <v>36</v>
      </c>
      <c r="I35" s="12"/>
      <c r="J35" s="12">
        <v>1300</v>
      </c>
      <c r="K35" s="12"/>
      <c r="L35" s="12">
        <f>1300*45</f>
        <v>58500</v>
      </c>
      <c r="M35" s="12"/>
      <c r="N35" s="12">
        <v>58500</v>
      </c>
      <c r="O35" s="12">
        <f t="shared" si="2"/>
        <v>0</v>
      </c>
    </row>
    <row r="36" spans="2:15" x14ac:dyDescent="0.3">
      <c r="B36" s="12" t="s">
        <v>661</v>
      </c>
      <c r="C36" s="66" t="s">
        <v>619</v>
      </c>
      <c r="D36" s="65" t="s">
        <v>666</v>
      </c>
      <c r="E36" s="12" t="s">
        <v>518</v>
      </c>
      <c r="F36" s="12" t="s">
        <v>35</v>
      </c>
      <c r="G36" s="12" t="s">
        <v>36</v>
      </c>
      <c r="H36" s="12" t="s">
        <v>295</v>
      </c>
      <c r="I36" s="12"/>
      <c r="J36" s="12"/>
      <c r="K36" s="12"/>
      <c r="L36" s="12"/>
      <c r="M36" s="12"/>
      <c r="N36" s="12"/>
      <c r="O36" s="12">
        <f t="shared" si="2"/>
        <v>0</v>
      </c>
    </row>
    <row r="37" spans="2:15" x14ac:dyDescent="0.3">
      <c r="B37" s="12" t="s">
        <v>661</v>
      </c>
      <c r="C37" s="12" t="s">
        <v>620</v>
      </c>
      <c r="D37" s="65" t="s">
        <v>666</v>
      </c>
      <c r="E37" s="12" t="s">
        <v>518</v>
      </c>
      <c r="F37" s="12" t="s">
        <v>35</v>
      </c>
      <c r="G37" s="12" t="s">
        <v>36</v>
      </c>
      <c r="H37" s="12" t="s">
        <v>621</v>
      </c>
      <c r="I37" s="12"/>
      <c r="J37" s="12"/>
      <c r="K37" s="12"/>
      <c r="L37" s="12"/>
      <c r="M37" s="12"/>
      <c r="N37" s="12"/>
      <c r="O37" s="12">
        <f t="shared" si="2"/>
        <v>0</v>
      </c>
    </row>
    <row r="38" spans="2:15" x14ac:dyDescent="0.3">
      <c r="B38" s="12" t="s">
        <v>600</v>
      </c>
      <c r="C38" s="12" t="s">
        <v>589</v>
      </c>
      <c r="D38" s="65" t="s">
        <v>666</v>
      </c>
      <c r="E38" s="12" t="s">
        <v>518</v>
      </c>
      <c r="F38" s="12" t="s">
        <v>35</v>
      </c>
      <c r="G38" s="12" t="s">
        <v>36</v>
      </c>
      <c r="H38" s="12" t="s">
        <v>622</v>
      </c>
      <c r="I38" s="12"/>
      <c r="J38" s="12"/>
      <c r="K38" s="12"/>
      <c r="L38" s="12"/>
      <c r="M38" s="12"/>
      <c r="N38" s="12"/>
      <c r="O38" s="12"/>
    </row>
    <row r="39" spans="2:15" x14ac:dyDescent="0.3">
      <c r="B39" s="12" t="s">
        <v>661</v>
      </c>
      <c r="C39" s="12" t="s">
        <v>623</v>
      </c>
      <c r="D39" s="65" t="s">
        <v>666</v>
      </c>
      <c r="E39" s="12" t="s">
        <v>518</v>
      </c>
      <c r="F39" s="12" t="s">
        <v>35</v>
      </c>
      <c r="G39" s="12" t="s">
        <v>36</v>
      </c>
      <c r="H39" s="12" t="s">
        <v>364</v>
      </c>
      <c r="I39" s="12"/>
      <c r="J39" s="12"/>
      <c r="K39" s="12"/>
      <c r="L39" s="12"/>
      <c r="M39" s="12"/>
      <c r="N39" s="12"/>
      <c r="O39" s="12"/>
    </row>
    <row r="40" spans="2:15" x14ac:dyDescent="0.3">
      <c r="B40" s="12" t="s">
        <v>661</v>
      </c>
      <c r="C40" s="13" t="s">
        <v>620</v>
      </c>
      <c r="D40" s="65" t="s">
        <v>666</v>
      </c>
      <c r="E40" s="12" t="s">
        <v>624</v>
      </c>
      <c r="F40" s="12" t="s">
        <v>35</v>
      </c>
      <c r="G40" s="12" t="s">
        <v>36</v>
      </c>
      <c r="H40" s="12" t="s">
        <v>625</v>
      </c>
      <c r="I40" s="12"/>
      <c r="J40" s="12"/>
      <c r="K40" s="12"/>
      <c r="L40" s="12"/>
      <c r="M40" s="12"/>
      <c r="N40" s="12"/>
      <c r="O40" s="12"/>
    </row>
    <row r="41" spans="2:15" x14ac:dyDescent="0.3">
      <c r="B41" s="12" t="s">
        <v>661</v>
      </c>
      <c r="C41" s="12" t="s">
        <v>595</v>
      </c>
      <c r="D41" s="65" t="s">
        <v>666</v>
      </c>
      <c r="E41" s="12" t="s">
        <v>624</v>
      </c>
      <c r="F41" s="12" t="s">
        <v>35</v>
      </c>
      <c r="G41" s="12" t="s">
        <v>250</v>
      </c>
      <c r="H41" s="12" t="s">
        <v>36</v>
      </c>
      <c r="I41" s="12"/>
      <c r="J41" s="12"/>
      <c r="K41" s="12"/>
      <c r="L41" s="12"/>
      <c r="M41" s="12"/>
      <c r="N41" s="12"/>
      <c r="O41" s="12"/>
    </row>
    <row r="42" spans="2:15" x14ac:dyDescent="0.3">
      <c r="B42" s="12" t="s">
        <v>661</v>
      </c>
      <c r="C42" s="12" t="s">
        <v>582</v>
      </c>
      <c r="D42" s="65" t="s">
        <v>666</v>
      </c>
      <c r="E42" s="12" t="s">
        <v>624</v>
      </c>
      <c r="F42" s="12" t="s">
        <v>35</v>
      </c>
      <c r="G42" s="12" t="s">
        <v>250</v>
      </c>
      <c r="H42" s="12" t="s">
        <v>55</v>
      </c>
      <c r="I42" s="12"/>
      <c r="J42" s="12"/>
      <c r="K42" s="12"/>
      <c r="L42" s="12"/>
      <c r="M42" s="12"/>
      <c r="N42" s="12"/>
      <c r="O42" s="12"/>
    </row>
    <row r="43" spans="2:15" x14ac:dyDescent="0.3">
      <c r="B43" s="12" t="s">
        <v>600</v>
      </c>
      <c r="C43" s="12" t="s">
        <v>591</v>
      </c>
      <c r="D43" s="65" t="s">
        <v>666</v>
      </c>
      <c r="E43" s="12" t="s">
        <v>624</v>
      </c>
      <c r="F43" s="12" t="s">
        <v>35</v>
      </c>
      <c r="G43" s="12" t="s">
        <v>36</v>
      </c>
      <c r="H43" s="12" t="s">
        <v>85</v>
      </c>
      <c r="I43" s="12"/>
      <c r="J43" s="12"/>
      <c r="K43" s="12"/>
      <c r="L43" s="12"/>
      <c r="M43" s="12"/>
      <c r="N43" s="12"/>
      <c r="O43" s="12"/>
    </row>
    <row r="44" spans="2:15" x14ac:dyDescent="0.3">
      <c r="B44" s="12" t="s">
        <v>600</v>
      </c>
      <c r="C44" s="12" t="s">
        <v>601</v>
      </c>
      <c r="D44" s="65" t="s">
        <v>667</v>
      </c>
      <c r="E44" s="12" t="s">
        <v>626</v>
      </c>
      <c r="F44" s="12" t="s">
        <v>35</v>
      </c>
      <c r="G44" s="12" t="s">
        <v>36</v>
      </c>
      <c r="H44" s="12" t="s">
        <v>85</v>
      </c>
      <c r="I44" s="12"/>
      <c r="J44" s="12"/>
      <c r="K44" s="12"/>
      <c r="L44" s="12"/>
      <c r="M44" s="12"/>
      <c r="N44" s="12"/>
      <c r="O44" s="12"/>
    </row>
    <row r="45" spans="2:15" x14ac:dyDescent="0.3">
      <c r="B45" s="12" t="s">
        <v>661</v>
      </c>
      <c r="C45" s="12" t="s">
        <v>627</v>
      </c>
      <c r="D45" s="65" t="s">
        <v>667</v>
      </c>
      <c r="E45" s="12" t="s">
        <v>626</v>
      </c>
      <c r="F45" s="12" t="s">
        <v>35</v>
      </c>
      <c r="G45" s="12" t="s">
        <v>36</v>
      </c>
      <c r="H45" s="12" t="s">
        <v>628</v>
      </c>
      <c r="I45" s="12">
        <f>700*45</f>
        <v>31500</v>
      </c>
      <c r="J45" s="12"/>
      <c r="K45" s="12"/>
      <c r="L45" s="12"/>
      <c r="M45" s="12"/>
      <c r="N45" s="12"/>
      <c r="O45" s="12"/>
    </row>
    <row r="46" spans="2:15" x14ac:dyDescent="0.3">
      <c r="B46" s="12" t="s">
        <v>600</v>
      </c>
      <c r="C46" s="12" t="s">
        <v>588</v>
      </c>
      <c r="D46" s="65" t="s">
        <v>667</v>
      </c>
      <c r="E46" s="12" t="s">
        <v>626</v>
      </c>
      <c r="F46" s="12" t="s">
        <v>35</v>
      </c>
      <c r="G46" s="12" t="s">
        <v>36</v>
      </c>
      <c r="H46" s="12" t="s">
        <v>629</v>
      </c>
      <c r="I46" s="12"/>
      <c r="J46" s="12"/>
      <c r="K46" s="12"/>
      <c r="L46" s="12"/>
      <c r="M46" s="12"/>
      <c r="N46" s="12"/>
      <c r="O46" s="12"/>
    </row>
    <row r="47" spans="2:15" x14ac:dyDescent="0.3">
      <c r="B47" s="12" t="s">
        <v>661</v>
      </c>
      <c r="C47" s="13" t="s">
        <v>637</v>
      </c>
      <c r="D47" s="65" t="s">
        <v>667</v>
      </c>
      <c r="E47" s="12" t="s">
        <v>638</v>
      </c>
      <c r="F47" s="12" t="s">
        <v>35</v>
      </c>
      <c r="G47" s="12" t="s">
        <v>36</v>
      </c>
      <c r="H47" s="12" t="s">
        <v>639</v>
      </c>
      <c r="I47" s="12">
        <v>17445</v>
      </c>
      <c r="J47" s="12">
        <v>1400</v>
      </c>
      <c r="K47" s="12"/>
      <c r="L47" s="12">
        <f>1400*45</f>
        <v>63000</v>
      </c>
      <c r="M47" s="12">
        <v>18000</v>
      </c>
      <c r="N47" s="12">
        <v>45000</v>
      </c>
      <c r="O47" s="12">
        <f>L47-M47-N47</f>
        <v>0</v>
      </c>
    </row>
    <row r="48" spans="2:15" x14ac:dyDescent="0.3">
      <c r="B48" s="12" t="s">
        <v>661</v>
      </c>
      <c r="C48" s="13" t="s">
        <v>617</v>
      </c>
      <c r="D48" s="65" t="s">
        <v>667</v>
      </c>
      <c r="E48" s="12" t="s">
        <v>638</v>
      </c>
      <c r="F48" s="12" t="s">
        <v>35</v>
      </c>
      <c r="G48" s="12" t="s">
        <v>36</v>
      </c>
      <c r="H48" s="12" t="s">
        <v>640</v>
      </c>
      <c r="I48" s="12" t="s">
        <v>641</v>
      </c>
      <c r="J48" s="12">
        <v>2200</v>
      </c>
      <c r="K48" s="12"/>
      <c r="L48" s="12">
        <f>2200*45</f>
        <v>99000</v>
      </c>
      <c r="M48" s="12">
        <v>31500</v>
      </c>
      <c r="N48" s="12">
        <v>27000</v>
      </c>
      <c r="O48" s="12">
        <f t="shared" ref="O48:O49" si="3">L48-M48-N48</f>
        <v>40500</v>
      </c>
    </row>
    <row r="49" spans="2:15" x14ac:dyDescent="0.3">
      <c r="B49" s="12" t="s">
        <v>661</v>
      </c>
      <c r="C49" s="12" t="s">
        <v>619</v>
      </c>
      <c r="D49" s="65">
        <v>45986</v>
      </c>
      <c r="E49" s="12" t="s">
        <v>638</v>
      </c>
      <c r="F49" s="12" t="s">
        <v>65</v>
      </c>
      <c r="G49" s="12" t="s">
        <v>66</v>
      </c>
      <c r="H49" s="12" t="s">
        <v>527</v>
      </c>
      <c r="I49" s="12"/>
      <c r="J49" s="12">
        <v>1300</v>
      </c>
      <c r="K49" s="12"/>
      <c r="L49" s="12">
        <f>J49*45</f>
        <v>58500</v>
      </c>
      <c r="M49" s="12"/>
      <c r="N49" s="12">
        <v>58500</v>
      </c>
      <c r="O49" s="12">
        <f t="shared" si="3"/>
        <v>0</v>
      </c>
    </row>
    <row r="50" spans="2:15" x14ac:dyDescent="0.3">
      <c r="B50" s="12" t="s">
        <v>661</v>
      </c>
      <c r="C50" s="12" t="s">
        <v>627</v>
      </c>
      <c r="D50" s="65" t="s">
        <v>667</v>
      </c>
      <c r="E50" s="12" t="s">
        <v>643</v>
      </c>
      <c r="F50" s="12" t="s">
        <v>35</v>
      </c>
      <c r="G50" s="12" t="s">
        <v>36</v>
      </c>
      <c r="H50" s="12" t="s">
        <v>647</v>
      </c>
      <c r="I50" s="12">
        <v>17604</v>
      </c>
      <c r="J50" s="12">
        <v>1300</v>
      </c>
      <c r="K50" s="12"/>
      <c r="L50" s="12">
        <v>58500</v>
      </c>
      <c r="M50" s="12">
        <v>31500</v>
      </c>
      <c r="N50" s="12">
        <v>27000</v>
      </c>
      <c r="O50" s="12">
        <f>L50-M50-N50</f>
        <v>0</v>
      </c>
    </row>
    <row r="51" spans="2:15" x14ac:dyDescent="0.3">
      <c r="B51" s="12" t="s">
        <v>661</v>
      </c>
      <c r="C51" s="12" t="s">
        <v>585</v>
      </c>
      <c r="D51" s="65" t="s">
        <v>667</v>
      </c>
      <c r="E51" s="12" t="s">
        <v>643</v>
      </c>
      <c r="F51" s="12" t="s">
        <v>35</v>
      </c>
      <c r="G51" s="12" t="s">
        <v>36</v>
      </c>
      <c r="H51" s="12" t="s">
        <v>639</v>
      </c>
      <c r="I51" s="12" t="s">
        <v>648</v>
      </c>
      <c r="J51" s="12">
        <v>1400</v>
      </c>
      <c r="K51" s="12"/>
      <c r="L51" s="12">
        <v>63000</v>
      </c>
      <c r="M51" s="12">
        <v>13500</v>
      </c>
      <c r="N51" s="12">
        <v>28500</v>
      </c>
      <c r="O51" s="12">
        <f t="shared" ref="O51:O69" si="4">L51-M51-N51</f>
        <v>21000</v>
      </c>
    </row>
    <row r="52" spans="2:15" x14ac:dyDescent="0.3">
      <c r="B52" s="12" t="s">
        <v>661</v>
      </c>
      <c r="C52" s="67" t="s">
        <v>620</v>
      </c>
      <c r="D52" s="65" t="s">
        <v>667</v>
      </c>
      <c r="E52" s="12" t="s">
        <v>649</v>
      </c>
      <c r="F52" s="12" t="s">
        <v>35</v>
      </c>
      <c r="G52" s="12" t="s">
        <v>36</v>
      </c>
      <c r="H52" s="12" t="s">
        <v>85</v>
      </c>
      <c r="I52" s="12">
        <v>17508</v>
      </c>
      <c r="J52" s="12">
        <v>1200</v>
      </c>
      <c r="K52" s="12"/>
      <c r="L52" s="12">
        <v>54000</v>
      </c>
      <c r="M52" s="12">
        <v>31500</v>
      </c>
      <c r="N52" s="12">
        <v>22500</v>
      </c>
      <c r="O52" s="12">
        <f t="shared" si="4"/>
        <v>0</v>
      </c>
    </row>
    <row r="53" spans="2:15" x14ac:dyDescent="0.3">
      <c r="B53" s="12" t="s">
        <v>661</v>
      </c>
      <c r="C53" s="13" t="s">
        <v>595</v>
      </c>
      <c r="D53" s="65" t="s">
        <v>667</v>
      </c>
      <c r="E53" s="12" t="s">
        <v>650</v>
      </c>
      <c r="F53" s="12" t="s">
        <v>35</v>
      </c>
      <c r="G53" s="12" t="s">
        <v>36</v>
      </c>
      <c r="H53" s="12" t="s">
        <v>660</v>
      </c>
      <c r="I53" s="12"/>
      <c r="J53" s="12">
        <v>1200</v>
      </c>
      <c r="K53" s="12"/>
      <c r="L53" s="12">
        <f>J53*45</f>
        <v>54000</v>
      </c>
      <c r="M53" s="12">
        <v>31500</v>
      </c>
      <c r="N53" s="12"/>
      <c r="O53" s="12">
        <f t="shared" si="4"/>
        <v>22500</v>
      </c>
    </row>
    <row r="54" spans="2:15" x14ac:dyDescent="0.3">
      <c r="B54" s="12" t="s">
        <v>661</v>
      </c>
      <c r="C54" s="12" t="s">
        <v>582</v>
      </c>
      <c r="D54" s="65" t="s">
        <v>667</v>
      </c>
      <c r="E54" s="12" t="s">
        <v>650</v>
      </c>
      <c r="F54" s="12" t="s">
        <v>35</v>
      </c>
      <c r="G54" s="12" t="s">
        <v>36</v>
      </c>
      <c r="H54" s="12" t="s">
        <v>85</v>
      </c>
      <c r="I54" s="12" t="s">
        <v>657</v>
      </c>
      <c r="J54" s="12">
        <v>1200</v>
      </c>
      <c r="K54" s="12"/>
      <c r="L54" s="12">
        <f>J54*45</f>
        <v>54000</v>
      </c>
      <c r="M54" s="12">
        <v>31500</v>
      </c>
      <c r="N54" s="12"/>
      <c r="O54" s="12">
        <f t="shared" si="4"/>
        <v>22500</v>
      </c>
    </row>
    <row r="55" spans="2:15" x14ac:dyDescent="0.3">
      <c r="B55" s="12" t="s">
        <v>661</v>
      </c>
      <c r="C55" s="12" t="s">
        <v>619</v>
      </c>
      <c r="D55" s="65" t="s">
        <v>667</v>
      </c>
      <c r="E55" s="12" t="s">
        <v>650</v>
      </c>
      <c r="F55" s="12" t="s">
        <v>35</v>
      </c>
      <c r="G55" s="12" t="s">
        <v>36</v>
      </c>
      <c r="H55" s="12" t="s">
        <v>651</v>
      </c>
      <c r="I55" s="12" t="s">
        <v>658</v>
      </c>
      <c r="J55" s="12">
        <v>1300</v>
      </c>
      <c r="K55" s="12"/>
      <c r="L55" s="12">
        <f>J55*45</f>
        <v>58500</v>
      </c>
      <c r="M55" s="12"/>
      <c r="N55" s="12"/>
      <c r="O55" s="12">
        <f t="shared" si="4"/>
        <v>58500</v>
      </c>
    </row>
    <row r="56" spans="2:15" x14ac:dyDescent="0.3">
      <c r="B56" s="12" t="s">
        <v>661</v>
      </c>
      <c r="C56" s="12" t="s">
        <v>592</v>
      </c>
      <c r="D56" s="65" t="s">
        <v>667</v>
      </c>
      <c r="E56" s="12" t="s">
        <v>650</v>
      </c>
      <c r="F56" s="12" t="s">
        <v>35</v>
      </c>
      <c r="G56" s="12" t="s">
        <v>250</v>
      </c>
      <c r="H56" s="12" t="s">
        <v>281</v>
      </c>
      <c r="I56" s="12">
        <v>99</v>
      </c>
      <c r="J56" s="12">
        <v>2200</v>
      </c>
      <c r="K56" s="12"/>
      <c r="L56" s="12">
        <f>J56*45</f>
        <v>99000</v>
      </c>
      <c r="M56" s="12">
        <v>27093</v>
      </c>
      <c r="N56" s="12"/>
      <c r="O56" s="12">
        <f t="shared" si="4"/>
        <v>71907</v>
      </c>
    </row>
    <row r="57" spans="2:15" x14ac:dyDescent="0.3">
      <c r="B57" s="12" t="s">
        <v>661</v>
      </c>
      <c r="C57" s="12" t="s">
        <v>655</v>
      </c>
      <c r="D57" s="65" t="s">
        <v>667</v>
      </c>
      <c r="E57" s="12" t="s">
        <v>650</v>
      </c>
      <c r="F57" s="12" t="s">
        <v>35</v>
      </c>
      <c r="G57" s="12" t="s">
        <v>36</v>
      </c>
      <c r="H57" s="12" t="s">
        <v>652</v>
      </c>
      <c r="I57" s="12" t="s">
        <v>659</v>
      </c>
      <c r="J57" s="12">
        <v>1600</v>
      </c>
      <c r="K57" s="12"/>
      <c r="L57" s="12">
        <f>J57*45</f>
        <v>72000</v>
      </c>
      <c r="M57" s="12">
        <v>31500</v>
      </c>
      <c r="N57" s="12"/>
      <c r="O57" s="12">
        <f t="shared" si="4"/>
        <v>40500</v>
      </c>
    </row>
    <row r="58" spans="2:15" x14ac:dyDescent="0.3">
      <c r="B58" s="12" t="s">
        <v>600</v>
      </c>
      <c r="C58" s="12" t="s">
        <v>589</v>
      </c>
      <c r="D58" s="65" t="s">
        <v>667</v>
      </c>
      <c r="E58" s="12" t="s">
        <v>650</v>
      </c>
      <c r="F58" s="12" t="s">
        <v>35</v>
      </c>
      <c r="G58" s="12" t="s">
        <v>36</v>
      </c>
      <c r="H58" s="12" t="s">
        <v>652</v>
      </c>
      <c r="I58" s="12" t="s">
        <v>656</v>
      </c>
      <c r="J58" s="12">
        <v>1600</v>
      </c>
      <c r="K58" s="12"/>
      <c r="L58" s="12">
        <v>72000</v>
      </c>
      <c r="M58" s="12">
        <v>13034</v>
      </c>
      <c r="N58" s="12"/>
      <c r="O58" s="12">
        <f t="shared" si="4"/>
        <v>58966</v>
      </c>
    </row>
    <row r="59" spans="2:15" x14ac:dyDescent="0.3">
      <c r="B59" s="12" t="s">
        <v>600</v>
      </c>
      <c r="C59" s="12" t="s">
        <v>591</v>
      </c>
      <c r="D59" s="65" t="s">
        <v>667</v>
      </c>
      <c r="E59" s="12" t="s">
        <v>653</v>
      </c>
      <c r="F59" s="12" t="s">
        <v>35</v>
      </c>
      <c r="G59" s="12" t="s">
        <v>36</v>
      </c>
      <c r="H59" s="12" t="s">
        <v>85</v>
      </c>
      <c r="I59" s="12" t="s">
        <v>654</v>
      </c>
      <c r="J59" s="12">
        <v>1200</v>
      </c>
      <c r="K59" s="12"/>
      <c r="L59" s="12">
        <v>54000</v>
      </c>
      <c r="M59" s="12">
        <v>21726</v>
      </c>
      <c r="N59" s="12"/>
      <c r="O59" s="12">
        <f t="shared" si="4"/>
        <v>32274</v>
      </c>
    </row>
    <row r="60" spans="2:15" x14ac:dyDescent="0.3">
      <c r="B60" s="12"/>
      <c r="C60" s="12"/>
      <c r="D60" s="65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2:15" x14ac:dyDescent="0.3">
      <c r="B61" s="4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>
        <f t="shared" si="4"/>
        <v>0</v>
      </c>
    </row>
    <row r="62" spans="2:15" x14ac:dyDescent="0.3">
      <c r="B62" s="12"/>
      <c r="C62" s="12"/>
      <c r="D62" s="12"/>
      <c r="E62" s="12"/>
      <c r="F62" s="12"/>
      <c r="G62" s="12"/>
      <c r="H62" s="12"/>
      <c r="I62" s="12"/>
      <c r="J62" s="12" t="s">
        <v>22</v>
      </c>
      <c r="K62" s="12"/>
      <c r="L62" s="12"/>
      <c r="M62" s="12"/>
      <c r="N62" s="12"/>
      <c r="O62" s="12">
        <f t="shared" si="4"/>
        <v>0</v>
      </c>
    </row>
    <row r="63" spans="2:15" x14ac:dyDescent="0.3">
      <c r="B63" s="12" t="s">
        <v>661</v>
      </c>
      <c r="C63" s="12" t="s">
        <v>627</v>
      </c>
      <c r="D63" s="12" t="s">
        <v>667</v>
      </c>
      <c r="E63" s="12" t="s">
        <v>797</v>
      </c>
      <c r="F63" s="12" t="s">
        <v>35</v>
      </c>
      <c r="G63" s="12" t="s">
        <v>36</v>
      </c>
      <c r="H63" s="12" t="s">
        <v>640</v>
      </c>
      <c r="I63" s="12" t="s">
        <v>801</v>
      </c>
      <c r="J63" s="12">
        <v>1200</v>
      </c>
      <c r="K63" s="12"/>
      <c r="L63" s="12">
        <f>J63*45</f>
        <v>54000</v>
      </c>
      <c r="M63" s="12">
        <v>31500</v>
      </c>
      <c r="N63" s="12">
        <v>25000</v>
      </c>
      <c r="O63" s="12">
        <f t="shared" si="4"/>
        <v>-2500</v>
      </c>
    </row>
    <row r="64" spans="2:15" x14ac:dyDescent="0.3">
      <c r="B64" s="12" t="s">
        <v>661</v>
      </c>
      <c r="C64" s="12" t="s">
        <v>594</v>
      </c>
      <c r="D64" s="12" t="s">
        <v>667</v>
      </c>
      <c r="E64" s="12" t="s">
        <v>797</v>
      </c>
      <c r="F64" s="12" t="s">
        <v>35</v>
      </c>
      <c r="G64" s="12" t="s">
        <v>36</v>
      </c>
      <c r="H64" s="12" t="s">
        <v>660</v>
      </c>
      <c r="I64" s="12" t="s">
        <v>802</v>
      </c>
      <c r="J64" s="12">
        <v>1100</v>
      </c>
      <c r="K64" s="12"/>
      <c r="L64" s="12">
        <f>J64*45</f>
        <v>49500</v>
      </c>
      <c r="M64" s="12">
        <v>31500</v>
      </c>
      <c r="N64" s="12">
        <v>25000</v>
      </c>
      <c r="O64" s="12">
        <f t="shared" si="4"/>
        <v>-7000</v>
      </c>
    </row>
    <row r="65" spans="2:15" x14ac:dyDescent="0.3">
      <c r="B65" s="12" t="s">
        <v>661</v>
      </c>
      <c r="C65" s="12" t="s">
        <v>620</v>
      </c>
      <c r="D65" s="12" t="s">
        <v>667</v>
      </c>
      <c r="E65" s="12" t="s">
        <v>797</v>
      </c>
      <c r="F65" s="12" t="s">
        <v>65</v>
      </c>
      <c r="G65" s="12" t="s">
        <v>36</v>
      </c>
      <c r="H65" s="12" t="s">
        <v>66</v>
      </c>
      <c r="I65" s="12"/>
      <c r="J65" s="12">
        <v>1300</v>
      </c>
      <c r="K65" s="12"/>
      <c r="L65" s="12">
        <f>J65*45</f>
        <v>58500</v>
      </c>
      <c r="M65" s="12"/>
      <c r="N65" s="12"/>
      <c r="O65" s="12">
        <f t="shared" si="4"/>
        <v>58500</v>
      </c>
    </row>
    <row r="66" spans="2:15" x14ac:dyDescent="0.3">
      <c r="B66" s="12" t="s">
        <v>661</v>
      </c>
      <c r="C66" s="12" t="s">
        <v>592</v>
      </c>
      <c r="D66" s="12" t="s">
        <v>667</v>
      </c>
      <c r="E66" s="12" t="s">
        <v>805</v>
      </c>
      <c r="F66" s="12" t="s">
        <v>35</v>
      </c>
      <c r="G66" s="12" t="s">
        <v>36</v>
      </c>
      <c r="H66" s="12" t="s">
        <v>622</v>
      </c>
      <c r="I66" s="12" t="s">
        <v>803</v>
      </c>
      <c r="J66" s="12">
        <v>1150</v>
      </c>
      <c r="K66" s="12"/>
      <c r="L66" s="12">
        <f>J66*45</f>
        <v>51750</v>
      </c>
      <c r="M66" s="12">
        <v>31500</v>
      </c>
      <c r="N66" s="12"/>
      <c r="O66" s="12">
        <f t="shared" si="4"/>
        <v>20250</v>
      </c>
    </row>
    <row r="67" spans="2:15" x14ac:dyDescent="0.3">
      <c r="B67" s="42" t="s">
        <v>600</v>
      </c>
      <c r="C67" s="12" t="s">
        <v>588</v>
      </c>
      <c r="D67" s="12" t="s">
        <v>667</v>
      </c>
      <c r="E67" s="12" t="s">
        <v>797</v>
      </c>
      <c r="F67" s="12" t="s">
        <v>35</v>
      </c>
      <c r="G67" s="12" t="s">
        <v>36</v>
      </c>
      <c r="H67" s="12" t="s">
        <v>740</v>
      </c>
      <c r="I67" s="12" t="s">
        <v>804</v>
      </c>
      <c r="J67" s="12">
        <v>1150</v>
      </c>
      <c r="K67" s="12"/>
      <c r="L67" s="12">
        <f>J67*45</f>
        <v>51750</v>
      </c>
      <c r="M67" s="12">
        <v>31682</v>
      </c>
      <c r="N67" s="12"/>
      <c r="O67" s="12">
        <f t="shared" si="4"/>
        <v>20068</v>
      </c>
    </row>
    <row r="68" spans="2:15" x14ac:dyDescent="0.3">
      <c r="B68" s="12" t="s">
        <v>600</v>
      </c>
      <c r="C68" s="12" t="s">
        <v>591</v>
      </c>
      <c r="D68" s="12" t="s">
        <v>667</v>
      </c>
      <c r="E68" s="12" t="s">
        <v>806</v>
      </c>
      <c r="F68" s="12" t="s">
        <v>35</v>
      </c>
      <c r="G68" s="12" t="s">
        <v>36</v>
      </c>
      <c r="H68" s="12" t="s">
        <v>807</v>
      </c>
      <c r="I68" s="12"/>
      <c r="J68" s="12"/>
      <c r="K68" s="12">
        <v>1550</v>
      </c>
      <c r="L68" s="12">
        <f>K68*45</f>
        <v>69750</v>
      </c>
      <c r="M68" s="12"/>
      <c r="N68" s="12"/>
      <c r="O68" s="12">
        <f t="shared" si="4"/>
        <v>69750</v>
      </c>
    </row>
    <row r="69" spans="2:15" x14ac:dyDescent="0.3">
      <c r="B69" s="12" t="s">
        <v>600</v>
      </c>
      <c r="C69" s="12" t="s">
        <v>589</v>
      </c>
      <c r="D69" s="12" t="s">
        <v>667</v>
      </c>
      <c r="E69" s="12" t="s">
        <v>634</v>
      </c>
      <c r="F69" s="12" t="s">
        <v>35</v>
      </c>
      <c r="G69" s="12" t="s">
        <v>36</v>
      </c>
      <c r="H69" s="12" t="s">
        <v>808</v>
      </c>
      <c r="I69" s="12">
        <v>17570</v>
      </c>
      <c r="J69" s="12">
        <v>1150</v>
      </c>
      <c r="K69" s="12">
        <v>1150</v>
      </c>
      <c r="L69" s="12">
        <f>2300*45</f>
        <v>103500</v>
      </c>
      <c r="M69" s="12">
        <v>31682</v>
      </c>
      <c r="N69" s="12"/>
      <c r="O69" s="12">
        <f t="shared" si="4"/>
        <v>71818</v>
      </c>
    </row>
  </sheetData>
  <autoFilter ref="B4:O69" xr:uid="{441BBB27-0034-4E76-9EAE-B13116D13799}"/>
  <pageMargins left="0.7" right="0.7" top="0.75" bottom="0.75" header="0.3" footer="0.3"/>
  <pageSetup paperSize="9" scale="6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D8FD-4EC1-4EE1-8862-1650A2E6FBB0}">
  <dimension ref="C5:N10"/>
  <sheetViews>
    <sheetView tabSelected="1" workbookViewId="0">
      <selection activeCell="P5" sqref="P5"/>
    </sheetView>
  </sheetViews>
  <sheetFormatPr defaultRowHeight="14.4" x14ac:dyDescent="0.3"/>
  <cols>
    <col min="3" max="3" width="14.33203125" bestFit="1" customWidth="1"/>
    <col min="4" max="4" width="7.6640625" bestFit="1" customWidth="1"/>
    <col min="5" max="5" width="13.109375" bestFit="1" customWidth="1"/>
    <col min="6" max="6" width="12.33203125" bestFit="1" customWidth="1"/>
    <col min="7" max="7" width="5.6640625" bestFit="1" customWidth="1"/>
    <col min="8" max="8" width="26.77734375" bestFit="1" customWidth="1"/>
    <col min="9" max="9" width="23.6640625" bestFit="1" customWidth="1"/>
    <col min="10" max="10" width="10.33203125" bestFit="1" customWidth="1"/>
    <col min="11" max="11" width="5" bestFit="1" customWidth="1"/>
    <col min="12" max="12" width="18" bestFit="1" customWidth="1"/>
    <col min="13" max="13" width="6.6640625" bestFit="1" customWidth="1"/>
    <col min="14" max="14" width="17.5546875" bestFit="1" customWidth="1"/>
  </cols>
  <sheetData>
    <row r="5" spans="3:14" ht="15.6" x14ac:dyDescent="0.3">
      <c r="C5" s="1" t="s">
        <v>2</v>
      </c>
      <c r="D5" s="1" t="s">
        <v>3</v>
      </c>
      <c r="E5" s="64" t="s">
        <v>4</v>
      </c>
      <c r="F5" s="1" t="s">
        <v>5</v>
      </c>
      <c r="G5" s="1" t="s">
        <v>6</v>
      </c>
      <c r="H5" s="1" t="s">
        <v>7</v>
      </c>
      <c r="I5" s="1" t="s">
        <v>576</v>
      </c>
      <c r="J5" s="1" t="s">
        <v>577</v>
      </c>
      <c r="K5" s="1"/>
      <c r="L5" s="1" t="s">
        <v>578</v>
      </c>
      <c r="M5" s="1" t="s">
        <v>579</v>
      </c>
      <c r="N5" s="1" t="s">
        <v>581</v>
      </c>
    </row>
    <row r="6" spans="3:14" x14ac:dyDescent="0.3">
      <c r="C6" s="12" t="s">
        <v>620</v>
      </c>
      <c r="D6" s="12" t="s">
        <v>667</v>
      </c>
      <c r="E6" s="12" t="s">
        <v>797</v>
      </c>
      <c r="F6" s="12" t="s">
        <v>65</v>
      </c>
      <c r="G6" s="12" t="s">
        <v>36</v>
      </c>
      <c r="H6" s="12" t="s">
        <v>66</v>
      </c>
      <c r="I6" s="12"/>
      <c r="J6" s="12">
        <v>1300</v>
      </c>
      <c r="K6" s="12"/>
      <c r="L6" s="12">
        <f>J6*45</f>
        <v>58500</v>
      </c>
      <c r="M6" s="12"/>
      <c r="N6" s="12">
        <f>L6-M6</f>
        <v>58500</v>
      </c>
    </row>
    <row r="7" spans="3:14" x14ac:dyDescent="0.3">
      <c r="C7" s="12" t="s">
        <v>592</v>
      </c>
      <c r="D7" s="12" t="s">
        <v>667</v>
      </c>
      <c r="E7" s="12" t="s">
        <v>805</v>
      </c>
      <c r="F7" s="12" t="s">
        <v>35</v>
      </c>
      <c r="G7" s="12" t="s">
        <v>36</v>
      </c>
      <c r="H7" s="12" t="s">
        <v>622</v>
      </c>
      <c r="I7" s="12" t="s">
        <v>803</v>
      </c>
      <c r="J7" s="12">
        <v>1150</v>
      </c>
      <c r="K7" s="12"/>
      <c r="L7" s="12">
        <f>J7*45</f>
        <v>51750</v>
      </c>
      <c r="M7" s="12">
        <v>31500</v>
      </c>
      <c r="N7" s="12">
        <f t="shared" ref="N7:N10" si="0">L7-M7</f>
        <v>20250</v>
      </c>
    </row>
    <row r="8" spans="3:14" x14ac:dyDescent="0.3">
      <c r="C8" s="12" t="s">
        <v>588</v>
      </c>
      <c r="D8" s="12" t="s">
        <v>667</v>
      </c>
      <c r="E8" s="12" t="s">
        <v>797</v>
      </c>
      <c r="F8" s="12" t="s">
        <v>35</v>
      </c>
      <c r="G8" s="12" t="s">
        <v>36</v>
      </c>
      <c r="H8" s="12" t="s">
        <v>740</v>
      </c>
      <c r="I8" s="12" t="s">
        <v>804</v>
      </c>
      <c r="J8" s="12">
        <v>1150</v>
      </c>
      <c r="K8" s="12"/>
      <c r="L8" s="12">
        <f>J8*45</f>
        <v>51750</v>
      </c>
      <c r="M8" s="12">
        <v>31682</v>
      </c>
      <c r="N8" s="12">
        <f t="shared" si="0"/>
        <v>20068</v>
      </c>
    </row>
    <row r="9" spans="3:14" x14ac:dyDescent="0.3">
      <c r="C9" s="12" t="s">
        <v>591</v>
      </c>
      <c r="D9" s="12" t="s">
        <v>667</v>
      </c>
      <c r="E9" s="12" t="s">
        <v>806</v>
      </c>
      <c r="F9" s="12" t="s">
        <v>35</v>
      </c>
      <c r="G9" s="12" t="s">
        <v>36</v>
      </c>
      <c r="H9" s="12" t="s">
        <v>807</v>
      </c>
      <c r="I9" s="12"/>
      <c r="J9" s="12"/>
      <c r="K9" s="12">
        <v>1550</v>
      </c>
      <c r="L9" s="12">
        <f>K9*45</f>
        <v>69750</v>
      </c>
      <c r="M9" s="12"/>
      <c r="N9" s="12">
        <f t="shared" si="0"/>
        <v>69750</v>
      </c>
    </row>
    <row r="10" spans="3:14" x14ac:dyDescent="0.3">
      <c r="C10" s="12" t="s">
        <v>589</v>
      </c>
      <c r="D10" s="12" t="s">
        <v>667</v>
      </c>
      <c r="E10" s="12" t="s">
        <v>634</v>
      </c>
      <c r="F10" s="12" t="s">
        <v>35</v>
      </c>
      <c r="G10" s="12" t="s">
        <v>36</v>
      </c>
      <c r="H10" s="12" t="s">
        <v>808</v>
      </c>
      <c r="I10" s="12">
        <v>17570</v>
      </c>
      <c r="J10" s="12">
        <v>1150</v>
      </c>
      <c r="K10" s="12">
        <v>1150</v>
      </c>
      <c r="L10" s="12">
        <f>2300*45</f>
        <v>103500</v>
      </c>
      <c r="M10" s="12">
        <v>31682</v>
      </c>
      <c r="N10" s="12">
        <f t="shared" si="0"/>
        <v>71818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</vt:lpstr>
      <vt:lpstr>VENDER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rai</dc:creator>
  <cp:lastModifiedBy>chandra rai</cp:lastModifiedBy>
  <cp:lastPrinted>2025-12-12T06:45:35Z</cp:lastPrinted>
  <dcterms:created xsi:type="dcterms:W3CDTF">2025-12-02T11:53:43Z</dcterms:created>
  <dcterms:modified xsi:type="dcterms:W3CDTF">2026-01-10T12:09:06Z</dcterms:modified>
</cp:coreProperties>
</file>